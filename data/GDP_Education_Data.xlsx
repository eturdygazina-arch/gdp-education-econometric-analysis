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lnazturdygazina/Documents/уни/эконометрика/статья/"/>
    </mc:Choice>
  </mc:AlternateContent>
  <xr:revisionPtr revIDLastSave="0" documentId="13_ncr:1_{097BAED9-7601-3F44-A2B2-FEE29B1D1F68}" xr6:coauthVersionLast="47" xr6:coauthVersionMax="47" xr10:uidLastSave="{00000000-0000-0000-0000-000000000000}"/>
  <bookViews>
    <workbookView xWindow="0" yWindow="1100" windowWidth="15860" windowHeight="14480" firstSheet="2" activeTab="4" xr2:uid="{AC75F1FE-6D70-A442-8E5C-6E66D048D42E}"/>
  </bookViews>
  <sheets>
    <sheet name="исходные данные" sheetId="2" r:id="rId1"/>
    <sheet name="исходные данные (2)" sheetId="25" r:id="rId2"/>
    <sheet name="мультиколлинеарность (2)" sheetId="26" r:id="rId3"/>
    <sheet name="общ" sheetId="9" r:id="rId4"/>
    <sheet name="парный линейн" sheetId="10" r:id="rId5"/>
    <sheet name="степенная" sheetId="11" r:id="rId6"/>
    <sheet name="y log общ" sheetId="12" r:id="rId7"/>
    <sheet name="гетеро вспом" sheetId="15" r:id="rId8"/>
    <sheet name="автокорреляция" sheetId="17" r:id="rId9"/>
    <sheet name="мультиколлинеарность" sheetId="18" r:id="rId10"/>
    <sheet name="Лист1" sheetId="19" r:id="rId11"/>
    <sheet name="Лист3" sheetId="21" r:id="rId12"/>
    <sheet name="Лист4" sheetId="2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0" l="1"/>
  <c r="F19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3" i="10"/>
  <c r="A29" i="15" a="1"/>
  <c r="A29" i="15" s="1"/>
  <c r="E4" i="15"/>
  <c r="G24" i="18" l="1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23" i="18"/>
  <c r="Q71" i="25"/>
  <c r="Q72" i="25"/>
  <c r="Q73" i="25"/>
  <c r="Q74" i="25"/>
  <c r="S74" i="25" s="1"/>
  <c r="U74" i="25" s="1"/>
  <c r="Q75" i="25"/>
  <c r="S75" i="25" s="1"/>
  <c r="U75" i="25" s="1"/>
  <c r="Q76" i="25"/>
  <c r="Q77" i="25"/>
  <c r="Q78" i="25"/>
  <c r="S78" i="25" s="1"/>
  <c r="U78" i="25" s="1"/>
  <c r="Q79" i="25"/>
  <c r="Q80" i="25"/>
  <c r="Q81" i="25"/>
  <c r="Q82" i="25"/>
  <c r="S82" i="25" s="1"/>
  <c r="U82" i="25" s="1"/>
  <c r="Q83" i="25"/>
  <c r="S83" i="25" s="1"/>
  <c r="U83" i="25" s="1"/>
  <c r="Q84" i="25"/>
  <c r="Q85" i="25"/>
  <c r="Q86" i="25"/>
  <c r="S86" i="25" s="1"/>
  <c r="U86" i="25" s="1"/>
  <c r="Q70" i="25"/>
  <c r="Q130" i="25"/>
  <c r="S130" i="25" s="1"/>
  <c r="U130" i="25" s="1"/>
  <c r="Q129" i="25"/>
  <c r="S129" i="25" s="1"/>
  <c r="U129" i="25" s="1"/>
  <c r="S128" i="25"/>
  <c r="U128" i="25" s="1"/>
  <c r="Q128" i="25"/>
  <c r="Q127" i="25"/>
  <c r="S127" i="25" s="1"/>
  <c r="U127" i="25" s="1"/>
  <c r="Q126" i="25"/>
  <c r="S126" i="25" s="1"/>
  <c r="U126" i="25" s="1"/>
  <c r="U125" i="25"/>
  <c r="S125" i="25"/>
  <c r="Q125" i="25"/>
  <c r="Q124" i="25"/>
  <c r="S124" i="25" s="1"/>
  <c r="U124" i="25" s="1"/>
  <c r="Q123" i="25"/>
  <c r="S123" i="25" s="1"/>
  <c r="U123" i="25" s="1"/>
  <c r="Q122" i="25"/>
  <c r="S122" i="25" s="1"/>
  <c r="U122" i="25" s="1"/>
  <c r="Q121" i="25"/>
  <c r="S121" i="25" s="1"/>
  <c r="U121" i="25" s="1"/>
  <c r="S120" i="25"/>
  <c r="U120" i="25" s="1"/>
  <c r="Q120" i="25"/>
  <c r="Q119" i="25"/>
  <c r="S119" i="25" s="1"/>
  <c r="U119" i="25" s="1"/>
  <c r="Q118" i="25"/>
  <c r="S118" i="25" s="1"/>
  <c r="U118" i="25" s="1"/>
  <c r="U117" i="25"/>
  <c r="S117" i="25"/>
  <c r="Q117" i="25"/>
  <c r="Q116" i="25"/>
  <c r="S116" i="25" s="1"/>
  <c r="U116" i="25" s="1"/>
  <c r="Q115" i="25"/>
  <c r="S115" i="25" s="1"/>
  <c r="U115" i="25" s="1"/>
  <c r="Q114" i="25"/>
  <c r="S114" i="25" s="1"/>
  <c r="U114" i="25" s="1"/>
  <c r="Q108" i="25"/>
  <c r="U108" i="25" s="1"/>
  <c r="Q107" i="25"/>
  <c r="U107" i="25" s="1"/>
  <c r="U106" i="25"/>
  <c r="Q106" i="25"/>
  <c r="Q105" i="25"/>
  <c r="U105" i="25" s="1"/>
  <c r="Q104" i="25"/>
  <c r="U104" i="25" s="1"/>
  <c r="Q103" i="25"/>
  <c r="U103" i="25" s="1"/>
  <c r="U102" i="25"/>
  <c r="Q102" i="25"/>
  <c r="Q101" i="25"/>
  <c r="U101" i="25" s="1"/>
  <c r="Q100" i="25"/>
  <c r="U100" i="25" s="1"/>
  <c r="Q99" i="25"/>
  <c r="U99" i="25" s="1"/>
  <c r="U98" i="25"/>
  <c r="Q98" i="25"/>
  <c r="Q97" i="25"/>
  <c r="U97" i="25" s="1"/>
  <c r="Q96" i="25"/>
  <c r="U96" i="25" s="1"/>
  <c r="Q95" i="25"/>
  <c r="U95" i="25" s="1"/>
  <c r="U94" i="25"/>
  <c r="Q94" i="25"/>
  <c r="Q93" i="25"/>
  <c r="U93" i="25" s="1"/>
  <c r="Q92" i="25"/>
  <c r="U92" i="25" s="1"/>
  <c r="S85" i="25"/>
  <c r="U85" i="25" s="1"/>
  <c r="S84" i="25"/>
  <c r="U84" i="25" s="1"/>
  <c r="S81" i="25"/>
  <c r="U81" i="25" s="1"/>
  <c r="S80" i="25"/>
  <c r="U80" i="25" s="1"/>
  <c r="S79" i="25"/>
  <c r="U79" i="25" s="1"/>
  <c r="S77" i="25"/>
  <c r="U77" i="25" s="1"/>
  <c r="S76" i="25"/>
  <c r="U76" i="25" s="1"/>
  <c r="S73" i="25"/>
  <c r="U73" i="25" s="1"/>
  <c r="S72" i="25"/>
  <c r="U72" i="25" s="1"/>
  <c r="S71" i="25"/>
  <c r="U71" i="25" s="1"/>
  <c r="S70" i="25"/>
  <c r="U70" i="25" s="1"/>
  <c r="U64" i="25"/>
  <c r="Q64" i="25"/>
  <c r="Q63" i="25"/>
  <c r="U63" i="25" s="1"/>
  <c r="Q62" i="25"/>
  <c r="U62" i="25" s="1"/>
  <c r="Q61" i="25"/>
  <c r="U61" i="25" s="1"/>
  <c r="U60" i="25"/>
  <c r="Q60" i="25"/>
  <c r="Q59" i="25"/>
  <c r="U59" i="25" s="1"/>
  <c r="Q58" i="25"/>
  <c r="U58" i="25" s="1"/>
  <c r="Q57" i="25"/>
  <c r="U57" i="25" s="1"/>
  <c r="U56" i="25"/>
  <c r="Q56" i="25"/>
  <c r="Q55" i="25"/>
  <c r="U55" i="25" s="1"/>
  <c r="Q54" i="25"/>
  <c r="U54" i="25" s="1"/>
  <c r="Q53" i="25"/>
  <c r="U53" i="25" s="1"/>
  <c r="U52" i="25"/>
  <c r="Q52" i="25"/>
  <c r="Q51" i="25"/>
  <c r="U51" i="25" s="1"/>
  <c r="Q50" i="25"/>
  <c r="U50" i="25" s="1"/>
  <c r="Q49" i="25"/>
  <c r="U49" i="25" s="1"/>
  <c r="U48" i="25"/>
  <c r="Q48" i="25"/>
  <c r="Q42" i="25"/>
  <c r="S42" i="25" s="1"/>
  <c r="U42" i="25" s="1"/>
  <c r="Q41" i="25"/>
  <c r="S41" i="25" s="1"/>
  <c r="U41" i="25" s="1"/>
  <c r="Q40" i="25"/>
  <c r="S40" i="25" s="1"/>
  <c r="U40" i="25" s="1"/>
  <c r="Q39" i="25"/>
  <c r="S39" i="25" s="1"/>
  <c r="U39" i="25" s="1"/>
  <c r="Q38" i="25"/>
  <c r="S38" i="25" s="1"/>
  <c r="U38" i="25" s="1"/>
  <c r="Q37" i="25"/>
  <c r="S37" i="25" s="1"/>
  <c r="U37" i="25" s="1"/>
  <c r="Q36" i="25"/>
  <c r="S36" i="25" s="1"/>
  <c r="U36" i="25" s="1"/>
  <c r="S35" i="25"/>
  <c r="U35" i="25" s="1"/>
  <c r="Q35" i="25"/>
  <c r="Q34" i="25"/>
  <c r="S34" i="25" s="1"/>
  <c r="U34" i="25" s="1"/>
  <c r="Q33" i="25"/>
  <c r="S33" i="25" s="1"/>
  <c r="U33" i="25" s="1"/>
  <c r="Q32" i="25"/>
  <c r="S32" i="25" s="1"/>
  <c r="U32" i="25" s="1"/>
  <c r="Q31" i="25"/>
  <c r="S31" i="25" s="1"/>
  <c r="U31" i="25" s="1"/>
  <c r="Q30" i="25"/>
  <c r="S30" i="25" s="1"/>
  <c r="U30" i="25" s="1"/>
  <c r="Q29" i="25"/>
  <c r="S29" i="25" s="1"/>
  <c r="U29" i="25" s="1"/>
  <c r="Q28" i="25"/>
  <c r="S28" i="25" s="1"/>
  <c r="U28" i="25" s="1"/>
  <c r="S27" i="25"/>
  <c r="U27" i="25" s="1"/>
  <c r="Q27" i="25"/>
  <c r="Q26" i="25"/>
  <c r="S26" i="25" s="1"/>
  <c r="U26" i="25" s="1"/>
  <c r="Q20" i="25"/>
  <c r="S20" i="25" s="1"/>
  <c r="U20" i="25" s="1"/>
  <c r="Q19" i="25"/>
  <c r="S19" i="25" s="1"/>
  <c r="U19" i="25" s="1"/>
  <c r="Q18" i="25"/>
  <c r="S18" i="25" s="1"/>
  <c r="U18" i="25" s="1"/>
  <c r="Q17" i="25"/>
  <c r="S17" i="25" s="1"/>
  <c r="U17" i="25" s="1"/>
  <c r="Q16" i="25"/>
  <c r="S16" i="25" s="1"/>
  <c r="U16" i="25" s="1"/>
  <c r="Q15" i="25"/>
  <c r="S15" i="25" s="1"/>
  <c r="U15" i="25" s="1"/>
  <c r="S14" i="25"/>
  <c r="U14" i="25" s="1"/>
  <c r="Q14" i="25"/>
  <c r="Q13" i="25"/>
  <c r="S13" i="25" s="1"/>
  <c r="U13" i="25" s="1"/>
  <c r="Q12" i="25"/>
  <c r="S12" i="25" s="1"/>
  <c r="U12" i="25" s="1"/>
  <c r="Q11" i="25"/>
  <c r="S11" i="25" s="1"/>
  <c r="U11" i="25" s="1"/>
  <c r="Q10" i="25"/>
  <c r="S10" i="25" s="1"/>
  <c r="U10" i="25" s="1"/>
  <c r="Q9" i="25"/>
  <c r="S9" i="25" s="1"/>
  <c r="U9" i="25" s="1"/>
  <c r="Q8" i="25"/>
  <c r="S8" i="25" s="1"/>
  <c r="U8" i="25" s="1"/>
  <c r="Q7" i="25"/>
  <c r="S7" i="25" s="1"/>
  <c r="U7" i="25" s="1"/>
  <c r="Q6" i="25"/>
  <c r="S6" i="25" s="1"/>
  <c r="U6" i="25" s="1"/>
  <c r="Q5" i="25"/>
  <c r="S5" i="25" s="1"/>
  <c r="U5" i="25" s="1"/>
  <c r="Q4" i="25"/>
  <c r="S4" i="25" s="1"/>
  <c r="U4" i="25" s="1"/>
  <c r="D38" i="10"/>
  <c r="U108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92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48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14" i="2"/>
  <c r="S80" i="2"/>
  <c r="U80" i="2" s="1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26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4" i="2"/>
  <c r="I34" i="9"/>
  <c r="A42" i="15"/>
  <c r="B37" i="15"/>
  <c r="B36" i="15"/>
  <c r="A31" i="17" a="1"/>
  <c r="A31" i="17" s="1"/>
  <c r="E29" i="17"/>
  <c r="D29" i="17"/>
  <c r="E28" i="17"/>
  <c r="D28" i="17"/>
  <c r="E27" i="17"/>
  <c r="D27" i="17"/>
  <c r="E26" i="17"/>
  <c r="D26" i="17"/>
  <c r="E25" i="17"/>
  <c r="E21" i="17"/>
  <c r="L5" i="17"/>
  <c r="L4" i="17"/>
  <c r="J20" i="17"/>
  <c r="K20" i="17"/>
  <c r="L20" i="17"/>
  <c r="M20" i="17"/>
  <c r="M5" i="17"/>
  <c r="J5" i="17"/>
  <c r="J6" i="17"/>
  <c r="J7" i="17"/>
  <c r="J8" i="17"/>
  <c r="J9" i="17"/>
  <c r="M9" i="17" s="1"/>
  <c r="J10" i="17"/>
  <c r="M10" i="17" s="1"/>
  <c r="J11" i="17"/>
  <c r="M11" i="17" s="1"/>
  <c r="J12" i="17"/>
  <c r="J13" i="17"/>
  <c r="J14" i="17"/>
  <c r="J15" i="17"/>
  <c r="J16" i="17"/>
  <c r="J17" i="17"/>
  <c r="M17" i="17" s="1"/>
  <c r="J18" i="17"/>
  <c r="M18" i="17" s="1"/>
  <c r="J19" i="17"/>
  <c r="M19" i="17" s="1"/>
  <c r="J4" i="17"/>
  <c r="M13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4" i="17"/>
  <c r="L15" i="17"/>
  <c r="L13" i="17"/>
  <c r="L7" i="17"/>
  <c r="L6" i="17"/>
  <c r="D4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D5" i="15"/>
  <c r="D6" i="15"/>
  <c r="D7" i="15"/>
  <c r="D8" i="15"/>
  <c r="D9" i="15"/>
  <c r="E9" i="15" s="1"/>
  <c r="F9" i="15" s="1"/>
  <c r="D10" i="15"/>
  <c r="E10" i="15" s="1"/>
  <c r="F10" i="15" s="1"/>
  <c r="D11" i="15"/>
  <c r="E11" i="15" s="1"/>
  <c r="F11" i="15" s="1"/>
  <c r="D12" i="15"/>
  <c r="E12" i="15" s="1"/>
  <c r="F12" i="15" s="1"/>
  <c r="D13" i="15"/>
  <c r="D14" i="15"/>
  <c r="D15" i="15"/>
  <c r="E15" i="15" s="1"/>
  <c r="F15" i="15" s="1"/>
  <c r="D16" i="15"/>
  <c r="E16" i="15" s="1"/>
  <c r="F16" i="15" s="1"/>
  <c r="D17" i="15"/>
  <c r="E17" i="15" s="1"/>
  <c r="F17" i="15" s="1"/>
  <c r="D18" i="15"/>
  <c r="E18" i="15" s="1"/>
  <c r="F18" i="15" s="1"/>
  <c r="D19" i="15"/>
  <c r="E19" i="15" s="1"/>
  <c r="F19" i="15" s="1"/>
  <c r="F4" i="15"/>
  <c r="I5" i="9"/>
  <c r="E14" i="15"/>
  <c r="F14" i="15" s="1"/>
  <c r="E13" i="15"/>
  <c r="F13" i="15" s="1"/>
  <c r="E8" i="15"/>
  <c r="F8" i="15" s="1"/>
  <c r="E7" i="15"/>
  <c r="F7" i="15" s="1"/>
  <c r="E6" i="15"/>
  <c r="F6" i="15" s="1"/>
  <c r="E5" i="15"/>
  <c r="F5" i="15" s="1"/>
  <c r="J5" i="9"/>
  <c r="K5" i="9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4" i="12"/>
  <c r="I24" i="11"/>
  <c r="P19" i="11"/>
  <c r="P4" i="11"/>
  <c r="P5" i="11"/>
  <c r="P6" i="11"/>
  <c r="P7" i="11"/>
  <c r="Q7" i="11" s="1"/>
  <c r="P8" i="11"/>
  <c r="Q8" i="11" s="1"/>
  <c r="P9" i="11"/>
  <c r="P10" i="11"/>
  <c r="P11" i="11"/>
  <c r="Q11" i="11" s="1"/>
  <c r="P12" i="11"/>
  <c r="Q12" i="11" s="1"/>
  <c r="P13" i="11"/>
  <c r="P14" i="11"/>
  <c r="P15" i="11"/>
  <c r="P16" i="11"/>
  <c r="P17" i="11"/>
  <c r="Q17" i="11" s="1"/>
  <c r="P18" i="11"/>
  <c r="Q18" i="11" s="1"/>
  <c r="Q5" i="11"/>
  <c r="Q6" i="11"/>
  <c r="Q9" i="11"/>
  <c r="Q10" i="11"/>
  <c r="Q13" i="11"/>
  <c r="Q14" i="11"/>
  <c r="Q15" i="11"/>
  <c r="Q16" i="11"/>
  <c r="Q19" i="11"/>
  <c r="Q4" i="11"/>
  <c r="E28" i="11"/>
  <c r="B28" i="11"/>
  <c r="A22" i="11" a="1"/>
  <c r="A22" i="11" s="1"/>
  <c r="L15" i="11"/>
  <c r="I5" i="11"/>
  <c r="J5" i="11"/>
  <c r="K5" i="11"/>
  <c r="L5" i="11"/>
  <c r="M5" i="11"/>
  <c r="N5" i="11"/>
  <c r="I6" i="11"/>
  <c r="J6" i="11"/>
  <c r="K6" i="11"/>
  <c r="L6" i="11"/>
  <c r="M6" i="11"/>
  <c r="N6" i="11"/>
  <c r="I7" i="11"/>
  <c r="J7" i="11"/>
  <c r="K7" i="11"/>
  <c r="L7" i="11"/>
  <c r="M7" i="11"/>
  <c r="N7" i="11"/>
  <c r="I8" i="11"/>
  <c r="J8" i="11"/>
  <c r="K8" i="11"/>
  <c r="L8" i="11"/>
  <c r="M8" i="11"/>
  <c r="N8" i="11"/>
  <c r="I9" i="11"/>
  <c r="J9" i="11"/>
  <c r="K9" i="11"/>
  <c r="L9" i="11"/>
  <c r="M9" i="11"/>
  <c r="N9" i="11"/>
  <c r="I10" i="11"/>
  <c r="J10" i="11"/>
  <c r="K10" i="11"/>
  <c r="L10" i="11"/>
  <c r="M10" i="11"/>
  <c r="N10" i="11"/>
  <c r="I11" i="11"/>
  <c r="J11" i="11"/>
  <c r="K11" i="11"/>
  <c r="L11" i="11"/>
  <c r="M11" i="11"/>
  <c r="N11" i="11"/>
  <c r="I12" i="11"/>
  <c r="J12" i="11"/>
  <c r="K12" i="11"/>
  <c r="L12" i="11"/>
  <c r="M12" i="11"/>
  <c r="N12" i="11"/>
  <c r="I13" i="11"/>
  <c r="J13" i="11"/>
  <c r="K13" i="11"/>
  <c r="L13" i="11"/>
  <c r="M13" i="11"/>
  <c r="N13" i="11"/>
  <c r="I14" i="11"/>
  <c r="J14" i="11"/>
  <c r="K14" i="11"/>
  <c r="L14" i="11"/>
  <c r="M14" i="11"/>
  <c r="N14" i="11"/>
  <c r="I15" i="11"/>
  <c r="J15" i="11"/>
  <c r="K15" i="11"/>
  <c r="M15" i="11"/>
  <c r="N15" i="11"/>
  <c r="I16" i="11"/>
  <c r="J16" i="11"/>
  <c r="K16" i="11"/>
  <c r="L16" i="11"/>
  <c r="M16" i="11"/>
  <c r="N16" i="11"/>
  <c r="I17" i="11"/>
  <c r="J17" i="11"/>
  <c r="K17" i="11"/>
  <c r="L17" i="11"/>
  <c r="M17" i="11"/>
  <c r="N17" i="11"/>
  <c r="I18" i="11"/>
  <c r="J18" i="11"/>
  <c r="K18" i="11"/>
  <c r="L18" i="11"/>
  <c r="M18" i="11"/>
  <c r="N18" i="11"/>
  <c r="I19" i="11"/>
  <c r="J19" i="11"/>
  <c r="K19" i="11"/>
  <c r="L19" i="11"/>
  <c r="M19" i="11"/>
  <c r="N19" i="11"/>
  <c r="N4" i="11"/>
  <c r="M4" i="11"/>
  <c r="L4" i="11"/>
  <c r="K4" i="11"/>
  <c r="J4" i="11"/>
  <c r="I4" i="11"/>
  <c r="I6" i="9"/>
  <c r="J6" i="9" s="1"/>
  <c r="K6" i="9" s="1"/>
  <c r="I7" i="9"/>
  <c r="J7" i="9" s="1"/>
  <c r="K7" i="9" s="1"/>
  <c r="I8" i="9"/>
  <c r="J8" i="9" s="1"/>
  <c r="K8" i="9" s="1"/>
  <c r="I9" i="9"/>
  <c r="J9" i="9" s="1"/>
  <c r="K9" i="9" s="1"/>
  <c r="I10" i="9"/>
  <c r="J10" i="9" s="1"/>
  <c r="K10" i="9" s="1"/>
  <c r="I11" i="9"/>
  <c r="J11" i="9" s="1"/>
  <c r="K11" i="9" s="1"/>
  <c r="I12" i="9"/>
  <c r="J12" i="9" s="1"/>
  <c r="K12" i="9" s="1"/>
  <c r="I13" i="9"/>
  <c r="J13" i="9" s="1"/>
  <c r="K13" i="9" s="1"/>
  <c r="I14" i="9"/>
  <c r="J14" i="9" s="1"/>
  <c r="K14" i="9" s="1"/>
  <c r="I15" i="9"/>
  <c r="J15" i="9" s="1"/>
  <c r="K15" i="9" s="1"/>
  <c r="I16" i="9"/>
  <c r="J16" i="9" s="1"/>
  <c r="K16" i="9" s="1"/>
  <c r="I17" i="9"/>
  <c r="J17" i="9" s="1"/>
  <c r="K17" i="9" s="1"/>
  <c r="I18" i="9"/>
  <c r="J18" i="9" s="1"/>
  <c r="K18" i="9" s="1"/>
  <c r="I19" i="9"/>
  <c r="J19" i="9" s="1"/>
  <c r="K19" i="9" s="1"/>
  <c r="I4" i="9"/>
  <c r="J4" i="9" s="1"/>
  <c r="K4" i="9" s="1"/>
  <c r="D23" i="10" a="1"/>
  <c r="D23" i="10" s="1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14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92" i="2"/>
  <c r="Q71" i="2"/>
  <c r="S71" i="2" s="1"/>
  <c r="U71" i="2" s="1"/>
  <c r="Q72" i="2"/>
  <c r="S72" i="2" s="1"/>
  <c r="U72" i="2" s="1"/>
  <c r="Q73" i="2"/>
  <c r="S73" i="2" s="1"/>
  <c r="U73" i="2" s="1"/>
  <c r="Q74" i="2"/>
  <c r="S74" i="2" s="1"/>
  <c r="U74" i="2" s="1"/>
  <c r="Q75" i="2"/>
  <c r="S75" i="2" s="1"/>
  <c r="U75" i="2" s="1"/>
  <c r="Q76" i="2"/>
  <c r="S76" i="2" s="1"/>
  <c r="U76" i="2" s="1"/>
  <c r="Q77" i="2"/>
  <c r="S77" i="2" s="1"/>
  <c r="U77" i="2" s="1"/>
  <c r="Q78" i="2"/>
  <c r="S78" i="2" s="1"/>
  <c r="U78" i="2" s="1"/>
  <c r="Q79" i="2"/>
  <c r="S79" i="2" s="1"/>
  <c r="U79" i="2" s="1"/>
  <c r="Q80" i="2"/>
  <c r="Q81" i="2"/>
  <c r="S81" i="2" s="1"/>
  <c r="U81" i="2" s="1"/>
  <c r="Q82" i="2"/>
  <c r="S82" i="2" s="1"/>
  <c r="U82" i="2" s="1"/>
  <c r="Q83" i="2"/>
  <c r="S83" i="2" s="1"/>
  <c r="U83" i="2" s="1"/>
  <c r="Q84" i="2"/>
  <c r="S84" i="2" s="1"/>
  <c r="U84" i="2" s="1"/>
  <c r="Q85" i="2"/>
  <c r="S85" i="2" s="1"/>
  <c r="U85" i="2" s="1"/>
  <c r="Q86" i="2"/>
  <c r="S86" i="2" s="1"/>
  <c r="U86" i="2" s="1"/>
  <c r="Q70" i="2"/>
  <c r="S70" i="2" s="1"/>
  <c r="U70" i="2" s="1"/>
  <c r="Q63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4" i="2"/>
  <c r="Q48" i="2"/>
  <c r="Q42" i="2"/>
  <c r="Q26" i="2"/>
  <c r="Q5" i="2"/>
  <c r="Q6" i="2"/>
  <c r="Q7" i="2"/>
  <c r="Q8" i="2"/>
  <c r="R8" i="2" s="1"/>
  <c r="Q9" i="2"/>
  <c r="Q10" i="2"/>
  <c r="Q11" i="2"/>
  <c r="Q12" i="2"/>
  <c r="Q13" i="2"/>
  <c r="Q14" i="2"/>
  <c r="Q15" i="2"/>
  <c r="Q16" i="2"/>
  <c r="Q17" i="2"/>
  <c r="Q18" i="2"/>
  <c r="Q19" i="2"/>
  <c r="Q20" i="2"/>
  <c r="Q4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R8" i="25" l="1"/>
  <c r="M12" i="17"/>
  <c r="M8" i="17"/>
  <c r="M15" i="17"/>
  <c r="M7" i="17"/>
  <c r="M16" i="17"/>
  <c r="M14" i="17"/>
  <c r="M6" i="17"/>
  <c r="L18" i="17"/>
  <c r="L12" i="17"/>
  <c r="L11" i="17"/>
  <c r="L9" i="17"/>
  <c r="L19" i="17"/>
  <c r="L10" i="17"/>
  <c r="L17" i="17"/>
  <c r="L16" i="17"/>
  <c r="L8" i="17"/>
  <c r="L14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<sst xmlns="http://schemas.openxmlformats.org/spreadsheetml/2006/main" count="1366" uniqueCount="165">
  <si>
    <t>Республика Казахстан</t>
  </si>
  <si>
    <t>Акмолинская</t>
  </si>
  <si>
    <t xml:space="preserve">Актюбинская </t>
  </si>
  <si>
    <t>Алматинская</t>
  </si>
  <si>
    <t>Атырауская</t>
  </si>
  <si>
    <t>Западно-Казахстанская</t>
  </si>
  <si>
    <t>Жамбылская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</si>
  <si>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</si>
  <si>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</si>
  <si>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</si>
  <si>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</si>
  <si>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</si>
  <si>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</si>
  <si>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Восточно-Казахстанская</t>
  </si>
  <si>
    <t>г.Астана</t>
  </si>
  <si>
    <t>г.Алматы</t>
  </si>
  <si>
    <t>2021 год</t>
  </si>
  <si>
    <t>человек</t>
  </si>
  <si>
    <t>в процентах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</si>
  <si>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</si>
  <si>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</si>
  <si>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</si>
  <si>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</si>
  <si>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</si>
  <si>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</si>
  <si>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</si>
  <si>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</si>
  <si>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</si>
  <si>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</si>
  <si>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</si>
  <si>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</si>
  <si>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</si>
  <si>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</si>
  <si>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</si>
  <si>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</si>
  <si>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</si>
  <si>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</si>
  <si>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</si>
  <si>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</si>
  <si>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</si>
  <si>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</si>
  <si>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</si>
  <si>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</si>
  <si>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</si>
  <si>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2010 год</t>
  </si>
  <si>
    <t>2011 год</t>
  </si>
  <si>
    <t>2012 год</t>
  </si>
  <si>
    <t>2013 год</t>
  </si>
  <si>
    <t>2014 год</t>
  </si>
  <si>
    <t>2015 год</t>
  </si>
  <si>
    <t>2016 год</t>
  </si>
  <si>
    <t>2017 год</t>
  </si>
  <si>
    <t>2018 год</t>
  </si>
  <si>
    <t>2019 год</t>
  </si>
  <si>
    <t>2020 год</t>
  </si>
  <si>
    <t>2022 год</t>
  </si>
  <si>
    <t>средние</t>
  </si>
  <si>
    <t>тыстенге</t>
  </si>
  <si>
    <t>2008 год</t>
  </si>
  <si>
    <t>2009 год</t>
  </si>
  <si>
    <t>Уровень безработицы1)</t>
  </si>
  <si>
    <t>г. Астана</t>
  </si>
  <si>
    <t xml:space="preserve">Республика Казахстан </t>
  </si>
  <si>
    <t>Актюбинская</t>
  </si>
  <si>
    <t>Туркестанская*</t>
  </si>
  <si>
    <t>г. Алматы</t>
  </si>
  <si>
    <t>Численность населения Республики Казахстан</t>
  </si>
  <si>
    <t>Рабочая сила1)</t>
  </si>
  <si>
    <t>Туркестан</t>
  </si>
  <si>
    <r>
      <t>Валовой региональный продукт на душу населения</t>
    </r>
    <r>
      <rPr>
        <b/>
        <vertAlign val="superscript"/>
        <sz val="12"/>
        <rFont val="Times New Roman"/>
        <family val="1"/>
      </rPr>
      <t>1)</t>
    </r>
  </si>
  <si>
    <t>участие в рабочей силе</t>
  </si>
  <si>
    <t>x1</t>
  </si>
  <si>
    <t>x2</t>
  </si>
  <si>
    <t>x3</t>
  </si>
  <si>
    <t>x4</t>
  </si>
  <si>
    <t>x5</t>
  </si>
  <si>
    <t>y</t>
  </si>
  <si>
    <t>y^</t>
  </si>
  <si>
    <t>y'</t>
  </si>
  <si>
    <t>x1'</t>
  </si>
  <si>
    <t>x2'</t>
  </si>
  <si>
    <t>x3'</t>
  </si>
  <si>
    <t>x4'</t>
  </si>
  <si>
    <t>x5'</t>
  </si>
  <si>
    <t>a'=</t>
  </si>
  <si>
    <t>a=</t>
  </si>
  <si>
    <t>y'=1230,58+x1^0,43+x2^1,99+x3^0,31+x4^0,86+x5^(-1,08)</t>
  </si>
  <si>
    <t>e^2</t>
  </si>
  <si>
    <t>R^2=</t>
  </si>
  <si>
    <t>e</t>
  </si>
  <si>
    <t>Спирмен</t>
  </si>
  <si>
    <t>b1=</t>
  </si>
  <si>
    <t>b2=</t>
  </si>
  <si>
    <t>b3=</t>
  </si>
  <si>
    <t>b4=</t>
  </si>
  <si>
    <t>b5=</t>
  </si>
  <si>
    <t>x1^2</t>
  </si>
  <si>
    <t>x2^2</t>
  </si>
  <si>
    <t>x3^2</t>
  </si>
  <si>
    <t>x4^2</t>
  </si>
  <si>
    <t>x5^2</t>
  </si>
  <si>
    <t>x1*x2</t>
  </si>
  <si>
    <t>x1*x3</t>
  </si>
  <si>
    <t>x1*x4</t>
  </si>
  <si>
    <t>x1*x5</t>
  </si>
  <si>
    <t>x2*x3</t>
  </si>
  <si>
    <t>x2*x4</t>
  </si>
  <si>
    <t>x2*x5</t>
  </si>
  <si>
    <t>x3*x4</t>
  </si>
  <si>
    <t>x3*x5</t>
  </si>
  <si>
    <t>x4*x5</t>
  </si>
  <si>
    <t>ВЫВОД ОСТАТКА</t>
  </si>
  <si>
    <t>Наблюдение</t>
  </si>
  <si>
    <t>Предсказанное y</t>
  </si>
  <si>
    <t>Остатки</t>
  </si>
  <si>
    <t>ВЫВОД ВЕРОЯТНОСТИ</t>
  </si>
  <si>
    <t>Персентиль</t>
  </si>
  <si>
    <t>t tabl=</t>
  </si>
  <si>
    <t>e t</t>
  </si>
  <si>
    <t>e t-1</t>
  </si>
  <si>
    <t>(e t - e (t-1))^2</t>
  </si>
  <si>
    <t>d fact=</t>
  </si>
  <si>
    <t>d n=</t>
  </si>
  <si>
    <t>d v=</t>
  </si>
  <si>
    <t>Положительная автокорреляция</t>
  </si>
  <si>
    <t xml:space="preserve"> Зона неопределенности</t>
  </si>
  <si>
    <t>Отсутствие автокорреляции</t>
  </si>
  <si>
    <r>
      <t>Зона</t>
    </r>
    <r>
      <rPr>
        <sz val="11"/>
        <color rgb="FF000000"/>
        <rFont val="Times"/>
      </rPr>
      <t xml:space="preserve"> </t>
    </r>
    <r>
      <rPr>
        <sz val="11"/>
        <color rgb="FF000000"/>
        <rFont val="Helvetica"/>
        <family val="2"/>
      </rPr>
      <t>неопределенности</t>
    </r>
  </si>
  <si>
    <r>
      <t>Отрицательная</t>
    </r>
    <r>
      <rPr>
        <sz val="11"/>
        <color rgb="FF000000"/>
        <rFont val="Times"/>
      </rPr>
      <t xml:space="preserve"> </t>
    </r>
    <r>
      <rPr>
        <sz val="11"/>
        <color rgb="FF000000"/>
        <rFont val="Helvetica"/>
        <family val="2"/>
      </rPr>
      <t>автокорреляция</t>
    </r>
  </si>
  <si>
    <t>e(t)=32,74-0,16*e(t-1)</t>
  </si>
  <si>
    <t>t fact&lt;t tabl</t>
  </si>
  <si>
    <t>незначим</t>
  </si>
  <si>
    <t>Численность выпускников вузов</t>
  </si>
  <si>
    <t>white test stat=</t>
  </si>
  <si>
    <t>X^2</t>
  </si>
  <si>
    <t>n*R^2&lt;X^2:</t>
  </si>
  <si>
    <t>гетероскедастичность отсутствует</t>
  </si>
  <si>
    <t>F tabl=</t>
  </si>
  <si>
    <t>F fact&gt;F tabl:</t>
  </si>
  <si>
    <t>значим</t>
  </si>
  <si>
    <t>т табл</t>
  </si>
  <si>
    <t>Переменная</t>
  </si>
  <si>
    <t>Обозначение</t>
  </si>
  <si>
    <t>Единица измерения</t>
  </si>
  <si>
    <t>Годы</t>
  </si>
  <si>
    <t>Источник</t>
  </si>
  <si>
    <t>ВВП на душу населения</t>
  </si>
  <si>
    <t>тыс. тенге</t>
  </si>
  <si>
    <t>stat.gov.kz</t>
  </si>
  <si>
    <t>educ</t>
  </si>
  <si>
    <t>Уровень безработицы</t>
  </si>
  <si>
    <t>unemp</t>
  </si>
  <si>
    <t>%</t>
  </si>
  <si>
    <t>urban</t>
  </si>
  <si>
    <t>Уровень участия в рабочей силе</t>
  </si>
  <si>
    <t>lfp</t>
  </si>
  <si>
    <t>gdp</t>
  </si>
  <si>
    <t>Стандартные остатки</t>
  </si>
  <si>
    <t>Численность городского населения Республики Казахстан</t>
  </si>
  <si>
    <t>2008–2022</t>
  </si>
  <si>
    <t>Численность городского населения РК</t>
  </si>
  <si>
    <t>employment </t>
  </si>
  <si>
    <t>Занятость населения</t>
  </si>
  <si>
    <t>тыс. человек</t>
  </si>
  <si>
    <t>y-y^/y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</si>
</sst>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#,##0.0"/>
    <numFmt numFmtId="166" formatCode="###\ ###\ ###\ ###\ ##0.0"/>
    <numFmt numFmtId="167" formatCode="###\ ###\ ###\ ##0"/>
    <numFmt numFmtId="168" formatCode="0.0"/>
    <numFmt numFmtId="169" formatCode="0.000"/>
    <numFmt numFmtId="170" formatCode="#,##0.000"/>
  </numFmts>
  <fonts count="22">
    <font>
      <sz val="12"/>
      <color theme="1"/>
      <name val="Aptos Narrow"/>
      <family val="2"/>
      <charset val="204"/>
      <scheme val="minor"/>
    </font>
    <font>
      <sz val="8"/>
      <name val="Roboto"/>
      <charset val="204"/>
    </font>
    <font>
      <b/>
      <sz val="8"/>
      <name val="Roboto"/>
      <charset val="204"/>
    </font>
    <font>
      <sz val="10"/>
      <name val="Arial Cyr"/>
      <charset val="204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color theme="1"/>
      <name val="Aptos Narrow"/>
      <family val="2"/>
      <charset val="204"/>
      <scheme val="minor"/>
    </font>
    <font>
      <b/>
      <vertAlign val="superscript"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1"/>
      <color rgb="FF000000"/>
      <name val="Helvetica"/>
      <family val="2"/>
    </font>
    <font>
      <sz val="11"/>
      <color rgb="FF000000"/>
      <name val="Times"/>
    </font>
    <font>
      <b/>
      <sz val="14"/>
      <color rgb="FF000000"/>
      <name val="-webkit-standard"/>
      <charset val="204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theme="1"/>
      <name val="Roboto"/>
      <charset val="204"/>
    </font>
    <font>
      <sz val="10"/>
      <color rgb="FF000000"/>
      <name val="Roboto"/>
      <charset val="204"/>
    </font>
    <font>
      <sz val="10"/>
      <name val="Roboto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83">
    <xf numFmtId="0" fontId="0" fillId="0" borderId="0" xfId="0"/>
    <xf numFmtId="0" fontId="4" fillId="0" borderId="0" xfId="0" applyFont="1"/>
    <xf numFmtId="2" fontId="4" fillId="0" borderId="0" xfId="0" applyNumberFormat="1" applyFont="1"/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66" fontId="6" fillId="0" borderId="1" xfId="1" applyNumberFormat="1" applyFont="1" applyBorder="1"/>
    <xf numFmtId="164" fontId="6" fillId="2" borderId="1" xfId="0" applyNumberFormat="1" applyFont="1" applyFill="1" applyBorder="1"/>
    <xf numFmtId="165" fontId="6" fillId="0" borderId="1" xfId="0" applyNumberFormat="1" applyFont="1" applyBorder="1"/>
    <xf numFmtId="0" fontId="0" fillId="0" borderId="2" xfId="0" applyBorder="1"/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Continuous"/>
    </xf>
    <xf numFmtId="164" fontId="1" fillId="2" borderId="0" xfId="0" applyNumberFormat="1" applyFont="1" applyFill="1"/>
    <xf numFmtId="165" fontId="1" fillId="0" borderId="0" xfId="0" applyNumberFormat="1" applyFont="1"/>
    <xf numFmtId="0" fontId="4" fillId="0" borderId="1" xfId="0" applyFont="1" applyBorder="1"/>
    <xf numFmtId="3" fontId="4" fillId="0" borderId="1" xfId="0" applyNumberFormat="1" applyFont="1" applyBorder="1"/>
    <xf numFmtId="3" fontId="6" fillId="0" borderId="1" xfId="0" applyNumberFormat="1" applyFont="1" applyBorder="1" applyAlignment="1">
      <alignment horizontal="right"/>
    </xf>
    <xf numFmtId="165" fontId="0" fillId="0" borderId="0" xfId="0" applyNumberFormat="1"/>
    <xf numFmtId="165" fontId="1" fillId="2" borderId="0" xfId="0" applyNumberFormat="1" applyFont="1" applyFill="1"/>
    <xf numFmtId="165" fontId="1" fillId="3" borderId="0" xfId="0" applyNumberFormat="1" applyFont="1" applyFill="1"/>
    <xf numFmtId="165" fontId="1" fillId="2" borderId="0" xfId="1" applyNumberFormat="1" applyFont="1" applyFill="1"/>
    <xf numFmtId="165" fontId="4" fillId="0" borderId="0" xfId="0" applyNumberFormat="1" applyFont="1"/>
    <xf numFmtId="0" fontId="6" fillId="2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/>
    <xf numFmtId="165" fontId="6" fillId="2" borderId="1" xfId="1" applyNumberFormat="1" applyFont="1" applyFill="1" applyBorder="1"/>
    <xf numFmtId="0" fontId="4" fillId="0" borderId="0" xfId="0" applyFont="1" applyAlignment="1">
      <alignment horizontal="right"/>
    </xf>
    <xf numFmtId="0" fontId="6" fillId="0" borderId="1" xfId="0" applyFont="1" applyBorder="1" applyAlignment="1">
      <alignment horizontal="center" vertical="center"/>
    </xf>
    <xf numFmtId="168" fontId="6" fillId="0" borderId="1" xfId="1" applyNumberFormat="1" applyFont="1" applyBorder="1" applyAlignment="1">
      <alignment horizontal="right"/>
    </xf>
    <xf numFmtId="166" fontId="6" fillId="0" borderId="1" xfId="1" applyNumberFormat="1" applyFont="1" applyBorder="1" applyAlignment="1">
      <alignment horizontal="right"/>
    </xf>
    <xf numFmtId="168" fontId="6" fillId="0" borderId="1" xfId="1" applyNumberFormat="1" applyFont="1" applyBorder="1"/>
    <xf numFmtId="168" fontId="6" fillId="0" borderId="1" xfId="0" applyNumberFormat="1" applyFont="1" applyBorder="1"/>
    <xf numFmtId="165" fontId="6" fillId="0" borderId="1" xfId="1" applyNumberFormat="1" applyFont="1" applyBorder="1"/>
    <xf numFmtId="165" fontId="6" fillId="0" borderId="1" xfId="1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3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0" fontId="4" fillId="0" borderId="4" xfId="0" applyFont="1" applyBorder="1"/>
    <xf numFmtId="0" fontId="6" fillId="0" borderId="0" xfId="0" applyFont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166" fontId="6" fillId="0" borderId="0" xfId="1" applyNumberFormat="1" applyFont="1"/>
    <xf numFmtId="165" fontId="6" fillId="0" borderId="0" xfId="1" applyNumberFormat="1" applyFont="1" applyAlignment="1">
      <alignment horizontal="right"/>
    </xf>
    <xf numFmtId="165" fontId="6" fillId="0" borderId="0" xfId="1" applyNumberFormat="1" applyFont="1" applyAlignment="1">
      <alignment horizontal="right" wrapText="1"/>
    </xf>
    <xf numFmtId="0" fontId="4" fillId="0" borderId="0" xfId="0" applyFont="1" applyAlignment="1">
      <alignment horizontal="center"/>
    </xf>
    <xf numFmtId="165" fontId="6" fillId="0" borderId="0" xfId="1" applyNumberFormat="1" applyFont="1"/>
    <xf numFmtId="164" fontId="5" fillId="2" borderId="1" xfId="0" applyNumberFormat="1" applyFont="1" applyFill="1" applyBorder="1"/>
    <xf numFmtId="165" fontId="6" fillId="3" borderId="1" xfId="0" applyNumberFormat="1" applyFont="1" applyFill="1" applyBorder="1"/>
    <xf numFmtId="165" fontId="4" fillId="0" borderId="1" xfId="0" applyNumberFormat="1" applyFont="1" applyBorder="1"/>
    <xf numFmtId="167" fontId="9" fillId="0" borderId="1" xfId="0" applyNumberFormat="1" applyFont="1" applyBorder="1" applyAlignment="1">
      <alignment horizontal="right" wrapText="1"/>
    </xf>
    <xf numFmtId="168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right"/>
    </xf>
    <xf numFmtId="165" fontId="11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vertical="center" wrapText="1"/>
    </xf>
    <xf numFmtId="164" fontId="2" fillId="2" borderId="0" xfId="0" applyNumberFormat="1" applyFont="1" applyFill="1" applyAlignment="1">
      <alignment wrapText="1"/>
    </xf>
    <xf numFmtId="2" fontId="0" fillId="0" borderId="0" xfId="0" applyNumberFormat="1"/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"/>
    </xf>
    <xf numFmtId="3" fontId="6" fillId="0" borderId="1" xfId="1" applyNumberFormat="1" applyFont="1" applyBorder="1"/>
    <xf numFmtId="0" fontId="6" fillId="2" borderId="4" xfId="0" applyFont="1" applyFill="1" applyBorder="1" applyAlignment="1">
      <alignment horizontal="center" vertical="center" wrapText="1"/>
    </xf>
    <xf numFmtId="4" fontId="4" fillId="0" borderId="1" xfId="0" applyNumberFormat="1" applyFont="1" applyBorder="1"/>
    <xf numFmtId="164" fontId="0" fillId="0" borderId="0" xfId="0" applyNumberFormat="1"/>
    <xf numFmtId="4" fontId="0" fillId="0" borderId="0" xfId="0" applyNumberFormat="1"/>
    <xf numFmtId="0" fontId="13" fillId="0" borderId="0" xfId="0" applyFont="1"/>
    <xf numFmtId="164" fontId="6" fillId="2" borderId="0" xfId="0" applyNumberFormat="1" applyFont="1" applyFill="1"/>
    <xf numFmtId="3" fontId="0" fillId="0" borderId="0" xfId="0" applyNumberFormat="1"/>
    <xf numFmtId="4" fontId="4" fillId="0" borderId="0" xfId="0" applyNumberFormat="1" applyFont="1"/>
    <xf numFmtId="0" fontId="14" fillId="0" borderId="0" xfId="0" applyFont="1"/>
    <xf numFmtId="0" fontId="16" fillId="0" borderId="0" xfId="0" applyFont="1"/>
    <xf numFmtId="169" fontId="0" fillId="0" borderId="0" xfId="0" applyNumberFormat="1"/>
    <xf numFmtId="170" fontId="4" fillId="0" borderId="0" xfId="0" applyNumberFormat="1" applyFont="1"/>
    <xf numFmtId="168" fontId="0" fillId="0" borderId="0" xfId="0" applyNumberFormat="1"/>
    <xf numFmtId="0" fontId="17" fillId="0" borderId="1" xfId="0" applyFont="1" applyBorder="1"/>
    <xf numFmtId="0" fontId="18" fillId="0" borderId="1" xfId="0" applyFont="1" applyBorder="1"/>
    <xf numFmtId="3" fontId="19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right"/>
    </xf>
    <xf numFmtId="3" fontId="21" fillId="0" borderId="0" xfId="0" applyNumberFormat="1" applyFont="1"/>
    <xf numFmtId="3" fontId="21" fillId="0" borderId="0" xfId="0" applyNumberFormat="1" applyFont="1" applyAlignment="1">
      <alignment horizontal="right"/>
    </xf>
  </cellXfs>
  <cellStyles count="2">
    <cellStyle name="Обычный" xfId="0" builtinId="0"/>
    <cellStyle name="Обычный 2" xfId="1" xr:uid="{FAB05780-C75E-BB43-B3B6-869639432D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общ!$B$4:$B$19</c:f>
              <c:numCache>
                <c:formatCode>#,##0</c:formatCode>
                <c:ptCount val="16"/>
                <c:pt idx="0">
                  <c:v>1907.4000000000003</c:v>
                </c:pt>
                <c:pt idx="1">
                  <c:v>2582.5333333333333</c:v>
                </c:pt>
                <c:pt idx="2">
                  <c:v>1191.0999999999999</c:v>
                </c:pt>
                <c:pt idx="3">
                  <c:v>3146.1488888888885</c:v>
                </c:pt>
                <c:pt idx="4">
                  <c:v>3321.0733333333333</c:v>
                </c:pt>
                <c:pt idx="5">
                  <c:v>1070.3933333333332</c:v>
                </c:pt>
                <c:pt idx="6">
                  <c:v>2855.5600000000004</c:v>
                </c:pt>
                <c:pt idx="7">
                  <c:v>2085.46</c:v>
                </c:pt>
                <c:pt idx="8">
                  <c:v>1813.8199999999997</c:v>
                </c:pt>
                <c:pt idx="9">
                  <c:v>4040.7400000000002</c:v>
                </c:pt>
                <c:pt idx="10">
                  <c:v>874.99333333333334</c:v>
                </c:pt>
                <c:pt idx="11">
                  <c:v>2876.4333333333334</c:v>
                </c:pt>
                <c:pt idx="12">
                  <c:v>1808.3200000000002</c:v>
                </c:pt>
                <c:pt idx="13">
                  <c:v>2114.98</c:v>
                </c:pt>
                <c:pt idx="14">
                  <c:v>4993.3399999999992</c:v>
                </c:pt>
                <c:pt idx="15">
                  <c:v>5325.7800000000007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3-AB4F-B56A-0B8F0DD5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866896"/>
        <c:axId val="1838505136"/>
      </c:scatterChart>
      <c:scatterChart>
        <c:scatterStyle val="smoothMarker"/>
        <c:varyColors val="0"/>
        <c:ser>
          <c:idx val="1"/>
          <c:order val="1"/>
          <c:tx>
            <c:v>y^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общ!$I$4:$I$19</c:f>
              <c:numCache>
                <c:formatCode>0.00</c:formatCode>
                <c:ptCount val="16"/>
                <c:pt idx="0">
                  <c:v>2387.9845666857777</c:v>
                </c:pt>
                <c:pt idx="1">
                  <c:v>2834.1941974018646</c:v>
                </c:pt>
                <c:pt idx="2">
                  <c:v>699.73622731108958</c:v>
                </c:pt>
                <c:pt idx="3">
                  <c:v>2888.36786037516</c:v>
                </c:pt>
                <c:pt idx="4">
                  <c:v>3244.1500564126527</c:v>
                </c:pt>
                <c:pt idx="5">
                  <c:v>2567.8004356860783</c:v>
                </c:pt>
                <c:pt idx="6">
                  <c:v>2903.7263649841589</c:v>
                </c:pt>
                <c:pt idx="7">
                  <c:v>2307.2177706953826</c:v>
                </c:pt>
                <c:pt idx="8">
                  <c:v>2894.5733228360373</c:v>
                </c:pt>
                <c:pt idx="9">
                  <c:v>2681.8687962577933</c:v>
                </c:pt>
                <c:pt idx="10">
                  <c:v>811.79424670565277</c:v>
                </c:pt>
                <c:pt idx="11">
                  <c:v>2561.6931164308562</c:v>
                </c:pt>
                <c:pt idx="12">
                  <c:v>2367.061795132483</c:v>
                </c:pt>
                <c:pt idx="13">
                  <c:v>2334.0734365999365</c:v>
                </c:pt>
                <c:pt idx="14">
                  <c:v>3133.5084119193916</c:v>
                </c:pt>
                <c:pt idx="15">
                  <c:v>5390.3249501212613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23-AB4F-B56A-0B8F0DD5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866896"/>
        <c:axId val="1838505136"/>
      </c:scatterChart>
      <c:valAx>
        <c:axId val="181986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38505136"/>
        <c:crosses val="autoZero"/>
        <c:crossBetween val="midCat"/>
      </c:valAx>
      <c:valAx>
        <c:axId val="18385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1986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общ!$B$4:$B$19</c:f>
              <c:numCache>
                <c:formatCode>#,##0</c:formatCode>
                <c:ptCount val="16"/>
                <c:pt idx="0">
                  <c:v>1907.4000000000003</c:v>
                </c:pt>
                <c:pt idx="1">
                  <c:v>2582.5333333333333</c:v>
                </c:pt>
                <c:pt idx="2">
                  <c:v>1191.0999999999999</c:v>
                </c:pt>
                <c:pt idx="3">
                  <c:v>3146.1488888888885</c:v>
                </c:pt>
                <c:pt idx="4">
                  <c:v>3321.0733333333333</c:v>
                </c:pt>
                <c:pt idx="5">
                  <c:v>1070.3933333333332</c:v>
                </c:pt>
                <c:pt idx="6">
                  <c:v>2855.5600000000004</c:v>
                </c:pt>
                <c:pt idx="7">
                  <c:v>2085.46</c:v>
                </c:pt>
                <c:pt idx="8">
                  <c:v>1813.8199999999997</c:v>
                </c:pt>
                <c:pt idx="9">
                  <c:v>4040.7400000000002</c:v>
                </c:pt>
                <c:pt idx="10">
                  <c:v>874.99333333333334</c:v>
                </c:pt>
                <c:pt idx="11">
                  <c:v>2876.4333333333334</c:v>
                </c:pt>
                <c:pt idx="12">
                  <c:v>1808.3200000000002</c:v>
                </c:pt>
                <c:pt idx="13">
                  <c:v>2114.98</c:v>
                </c:pt>
                <c:pt idx="14">
                  <c:v>4993.3399999999992</c:v>
                </c:pt>
                <c:pt idx="15">
                  <c:v>5325.7800000000007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C1-0C4F-A3D6-8AD6DAEB1046}"/>
            </c:ext>
          </c:extLst>
        </c:ser>
        <c:ser>
          <c:idx val="1"/>
          <c:order val="1"/>
          <c:tx>
            <c:v>y^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общ!$I$4:$I$19</c:f>
              <c:numCache>
                <c:formatCode>0.00</c:formatCode>
                <c:ptCount val="16"/>
                <c:pt idx="0">
                  <c:v>2387.9845666857777</c:v>
                </c:pt>
                <c:pt idx="1">
                  <c:v>2834.1941974018646</c:v>
                </c:pt>
                <c:pt idx="2">
                  <c:v>699.73622731108958</c:v>
                </c:pt>
                <c:pt idx="3">
                  <c:v>2888.36786037516</c:v>
                </c:pt>
                <c:pt idx="4">
                  <c:v>3244.1500564126527</c:v>
                </c:pt>
                <c:pt idx="5">
                  <c:v>2567.8004356860783</c:v>
                </c:pt>
                <c:pt idx="6">
                  <c:v>2903.7263649841589</c:v>
                </c:pt>
                <c:pt idx="7">
                  <c:v>2307.2177706953826</c:v>
                </c:pt>
                <c:pt idx="8">
                  <c:v>2894.5733228360373</c:v>
                </c:pt>
                <c:pt idx="9">
                  <c:v>2681.8687962577933</c:v>
                </c:pt>
                <c:pt idx="10">
                  <c:v>811.79424670565277</c:v>
                </c:pt>
                <c:pt idx="11">
                  <c:v>2561.6931164308562</c:v>
                </c:pt>
                <c:pt idx="12">
                  <c:v>2367.061795132483</c:v>
                </c:pt>
                <c:pt idx="13">
                  <c:v>2334.0734365999365</c:v>
                </c:pt>
                <c:pt idx="14">
                  <c:v>3133.5084119193916</c:v>
                </c:pt>
                <c:pt idx="15">
                  <c:v>5390.3249501212613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C1-0C4F-A3D6-8AD6DAEB1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838384"/>
        <c:axId val="2081835568"/>
      </c:scatterChart>
      <c:valAx>
        <c:axId val="208183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81835568"/>
        <c:crosses val="autoZero"/>
        <c:crossBetween val="midCat"/>
      </c:valAx>
      <c:valAx>
        <c:axId val="20818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8183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общ!$J$4:$J$19</c:f>
              <c:numCache>
                <c:formatCode>#,##0.00</c:formatCode>
                <c:ptCount val="16"/>
                <c:pt idx="0">
                  <c:v>-480.58456668577742</c:v>
                </c:pt>
                <c:pt idx="1">
                  <c:v>-251.66086406853128</c:v>
                </c:pt>
                <c:pt idx="2">
                  <c:v>491.36377268891033</c:v>
                </c:pt>
                <c:pt idx="3">
                  <c:v>257.78102851372842</c:v>
                </c:pt>
                <c:pt idx="4">
                  <c:v>76.923276920680564</c:v>
                </c:pt>
                <c:pt idx="5">
                  <c:v>-1497.4071023527451</c:v>
                </c:pt>
                <c:pt idx="6">
                  <c:v>-48.166364984158463</c:v>
                </c:pt>
                <c:pt idx="7">
                  <c:v>-221.75777069538253</c:v>
                </c:pt>
                <c:pt idx="8">
                  <c:v>-1080.7533228360376</c:v>
                </c:pt>
                <c:pt idx="9">
                  <c:v>1358.8712037422069</c:v>
                </c:pt>
                <c:pt idx="10">
                  <c:v>63.199086627680572</c:v>
                </c:pt>
                <c:pt idx="11">
                  <c:v>314.74021690247719</c:v>
                </c:pt>
                <c:pt idx="12">
                  <c:v>-558.74179513248282</c:v>
                </c:pt>
                <c:pt idx="13">
                  <c:v>-219.09343659993647</c:v>
                </c:pt>
                <c:pt idx="14">
                  <c:v>1859.8315880806076</c:v>
                </c:pt>
                <c:pt idx="15">
                  <c:v>-64.544950121260626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3-8342-B81D-43C910CCA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555072"/>
        <c:axId val="1726578560"/>
      </c:scatterChart>
      <c:valAx>
        <c:axId val="74055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26578560"/>
        <c:crosses val="autoZero"/>
        <c:crossBetween val="midCat"/>
      </c:valAx>
      <c:valAx>
        <c:axId val="172657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4055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'парный линейн'!$C$2</c:f>
              <c:strCache>
                <c:ptCount val="1"/>
                <c:pt idx="0">
                  <c:v>x1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'парный линейн'!$B$3:$B$18</c:f>
              <c:numCache>
                <c:formatCode>#,##0</c:formatCode>
                <c:ptCount val="16"/>
                <c:pt idx="0">
                  <c:v>1907.4000000000003</c:v>
                </c:pt>
                <c:pt idx="1">
                  <c:v>2582.5333333333333</c:v>
                </c:pt>
                <c:pt idx="2">
                  <c:v>1191.0999999999999</c:v>
                </c:pt>
                <c:pt idx="3">
                  <c:v>3146.1488888888885</c:v>
                </c:pt>
                <c:pt idx="4">
                  <c:v>3321.0733333333333</c:v>
                </c:pt>
                <c:pt idx="5">
                  <c:v>1070.3933333333332</c:v>
                </c:pt>
                <c:pt idx="6">
                  <c:v>2855.5600000000004</c:v>
                </c:pt>
                <c:pt idx="7">
                  <c:v>2085.46</c:v>
                </c:pt>
                <c:pt idx="8">
                  <c:v>1813.8199999999997</c:v>
                </c:pt>
                <c:pt idx="9">
                  <c:v>4040.7400000000002</c:v>
                </c:pt>
                <c:pt idx="10">
                  <c:v>874.99333333333334</c:v>
                </c:pt>
                <c:pt idx="11">
                  <c:v>2876.4333333333334</c:v>
                </c:pt>
                <c:pt idx="12">
                  <c:v>1808.3200000000002</c:v>
                </c:pt>
                <c:pt idx="13">
                  <c:v>2114.98</c:v>
                </c:pt>
                <c:pt idx="14">
                  <c:v>4993.3399999999992</c:v>
                </c:pt>
                <c:pt idx="15">
                  <c:v>5325.7800000000007</c:v>
                </c:pt>
              </c:numCache>
            </c:numRef>
          </c:xVal>
          <c:yVal>
            <c:numRef>
              <c:f>'парный линейн'!$C$3:$C$18</c:f>
              <c:numCache>
                <c:formatCode>#,##0</c:formatCode>
                <c:ptCount val="16"/>
                <c:pt idx="0">
                  <c:v>5166.6000000000004</c:v>
                </c:pt>
                <c:pt idx="1">
                  <c:v>6248.8</c:v>
                </c:pt>
                <c:pt idx="2">
                  <c:v>2590.8666666666668</c:v>
                </c:pt>
                <c:pt idx="3">
                  <c:v>3812.8</c:v>
                </c:pt>
                <c:pt idx="4">
                  <c:v>8445.7999999999993</c:v>
                </c:pt>
                <c:pt idx="5">
                  <c:v>8099.6</c:v>
                </c:pt>
                <c:pt idx="6">
                  <c:v>13834.266666666666</c:v>
                </c:pt>
                <c:pt idx="7">
                  <c:v>6453.2</c:v>
                </c:pt>
                <c:pt idx="8">
                  <c:v>4070.2</c:v>
                </c:pt>
                <c:pt idx="9">
                  <c:v>1778.5333333333333</c:v>
                </c:pt>
                <c:pt idx="10">
                  <c:v>3039.1333333333332</c:v>
                </c:pt>
                <c:pt idx="11">
                  <c:v>5027.3999999999996</c:v>
                </c:pt>
                <c:pt idx="12">
                  <c:v>2118.2666666666669</c:v>
                </c:pt>
                <c:pt idx="13">
                  <c:v>9941</c:v>
                </c:pt>
                <c:pt idx="14">
                  <c:v>11644.466666666667</c:v>
                </c:pt>
                <c:pt idx="15">
                  <c:v>42013.066666666666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F0-F14B-9274-485094BC0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7211648"/>
        <c:axId val="2067106960"/>
      </c:scatterChart>
      <c:valAx>
        <c:axId val="206721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67106960"/>
        <c:crosses val="autoZero"/>
        <c:crossBetween val="midCat"/>
      </c:valAx>
      <c:valAx>
        <c:axId val="20671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6721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'парный линейн'!$B$40</c:f>
              <c:strCache>
                <c:ptCount val="1"/>
                <c:pt idx="0">
                  <c:v>x2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'парный линейн'!$A$41:$A$56</c:f>
              <c:numCache>
                <c:formatCode>#,##0</c:formatCode>
                <c:ptCount val="16"/>
                <c:pt idx="0">
                  <c:v>1907.4000000000003</c:v>
                </c:pt>
                <c:pt idx="1">
                  <c:v>2582.5333333333333</c:v>
                </c:pt>
                <c:pt idx="2">
                  <c:v>1191.0999999999999</c:v>
                </c:pt>
                <c:pt idx="3">
                  <c:v>3146.1488888888885</c:v>
                </c:pt>
                <c:pt idx="4">
                  <c:v>3321.0733333333333</c:v>
                </c:pt>
                <c:pt idx="5">
                  <c:v>1070.3933333333332</c:v>
                </c:pt>
                <c:pt idx="6">
                  <c:v>2855.5600000000004</c:v>
                </c:pt>
                <c:pt idx="7">
                  <c:v>2085.46</c:v>
                </c:pt>
                <c:pt idx="8">
                  <c:v>1813.8199999999997</c:v>
                </c:pt>
                <c:pt idx="9">
                  <c:v>4040.7400000000002</c:v>
                </c:pt>
                <c:pt idx="10">
                  <c:v>874.99333333333334</c:v>
                </c:pt>
                <c:pt idx="11">
                  <c:v>2876.4333333333334</c:v>
                </c:pt>
                <c:pt idx="12">
                  <c:v>1808.3200000000002</c:v>
                </c:pt>
                <c:pt idx="13">
                  <c:v>2114.98</c:v>
                </c:pt>
                <c:pt idx="14">
                  <c:v>4993.3399999999992</c:v>
                </c:pt>
                <c:pt idx="15">
                  <c:v>5325.7800000000007</c:v>
                </c:pt>
              </c:numCache>
            </c:numRef>
          </c:xVal>
          <c:yVal>
            <c:numRef>
              <c:f>'парный линейн'!$B$41:$B$56</c:f>
              <c:numCache>
                <c:formatCode>#,##0.00</c:formatCode>
                <c:ptCount val="16"/>
                <c:pt idx="0">
                  <c:v>5.3082092778058581</c:v>
                </c:pt>
                <c:pt idx="1">
                  <c:v>5.0717551491695207</c:v>
                </c:pt>
                <c:pt idx="2">
                  <c:v>5.1005678979394506</c:v>
                </c:pt>
                <c:pt idx="3">
                  <c:v>5.1272700068587911</c:v>
                </c:pt>
                <c:pt idx="4">
                  <c:v>5.2660793678517441</c:v>
                </c:pt>
                <c:pt idx="5">
                  <c:v>5.2744020564440524</c:v>
                </c:pt>
                <c:pt idx="6">
                  <c:v>5.0477448468016402</c:v>
                </c:pt>
                <c:pt idx="7">
                  <c:v>5.237792577925779</c:v>
                </c:pt>
                <c:pt idx="8">
                  <c:v>5.3026385452002867</c:v>
                </c:pt>
                <c:pt idx="9">
                  <c:v>5.4568636100056009</c:v>
                </c:pt>
                <c:pt idx="10">
                  <c:v>5.4477931369665571</c:v>
                </c:pt>
                <c:pt idx="11">
                  <c:v>5.1106238370324375</c:v>
                </c:pt>
                <c:pt idx="12">
                  <c:v>5.2412656270578806</c:v>
                </c:pt>
                <c:pt idx="13">
                  <c:v>5.16164313964883</c:v>
                </c:pt>
                <c:pt idx="14">
                  <c:v>5.2080265596771538</c:v>
                </c:pt>
                <c:pt idx="15">
                  <c:v>5.6835855510577415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2-E343-BF12-5D89EF5CB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449664"/>
        <c:axId val="485031824"/>
      </c:scatterChart>
      <c:valAx>
        <c:axId val="48544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85031824"/>
        <c:crosses val="autoZero"/>
        <c:crossBetween val="midCat"/>
      </c:valAx>
      <c:valAx>
        <c:axId val="48503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8544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'парный линейн'!$B$80</c:f>
              <c:strCache>
                <c:ptCount val="1"/>
                <c:pt idx="0">
                  <c:v>x3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'парный линейн'!$A$81:$A$96</c:f>
              <c:numCache>
                <c:formatCode>#,##0</c:formatCode>
                <c:ptCount val="16"/>
                <c:pt idx="0">
                  <c:v>1907.4000000000003</c:v>
                </c:pt>
                <c:pt idx="1">
                  <c:v>2582.5333333333333</c:v>
                </c:pt>
                <c:pt idx="2">
                  <c:v>1191.0999999999999</c:v>
                </c:pt>
                <c:pt idx="3">
                  <c:v>3146.1488888888885</c:v>
                </c:pt>
                <c:pt idx="4">
                  <c:v>3321.0733333333333</c:v>
                </c:pt>
                <c:pt idx="5">
                  <c:v>1070.3933333333332</c:v>
                </c:pt>
                <c:pt idx="6">
                  <c:v>2855.5600000000004</c:v>
                </c:pt>
                <c:pt idx="7">
                  <c:v>2085.46</c:v>
                </c:pt>
                <c:pt idx="8">
                  <c:v>1813.8199999999997</c:v>
                </c:pt>
                <c:pt idx="9">
                  <c:v>4040.7400000000002</c:v>
                </c:pt>
                <c:pt idx="10">
                  <c:v>874.99333333333334</c:v>
                </c:pt>
                <c:pt idx="11">
                  <c:v>2876.4333333333334</c:v>
                </c:pt>
                <c:pt idx="12">
                  <c:v>1808.3200000000002</c:v>
                </c:pt>
                <c:pt idx="13">
                  <c:v>2114.98</c:v>
                </c:pt>
                <c:pt idx="14">
                  <c:v>4993.3399999999992</c:v>
                </c:pt>
                <c:pt idx="15">
                  <c:v>5325.7800000000007</c:v>
                </c:pt>
              </c:numCache>
            </c:numRef>
          </c:xVal>
          <c:yVal>
            <c:numRef>
              <c:f>'парный линейн'!$B$81:$B$96</c:f>
              <c:numCache>
                <c:formatCode>#,##0</c:formatCode>
                <c:ptCount val="16"/>
                <c:pt idx="0">
                  <c:v>740357</c:v>
                </c:pt>
                <c:pt idx="1">
                  <c:v>821060.4</c:v>
                </c:pt>
                <c:pt idx="2">
                  <c:v>1901185.4666666666</c:v>
                </c:pt>
                <c:pt idx="3">
                  <c:v>582669.06666666665</c:v>
                </c:pt>
                <c:pt idx="4">
                  <c:v>632635.53333333333</c:v>
                </c:pt>
                <c:pt idx="5">
                  <c:v>1091768.2</c:v>
                </c:pt>
                <c:pt idx="6">
                  <c:v>1351016.7333333334</c:v>
                </c:pt>
                <c:pt idx="7">
                  <c:v>876532</c:v>
                </c:pt>
                <c:pt idx="8">
                  <c:v>745924.73333333328</c:v>
                </c:pt>
                <c:pt idx="9">
                  <c:v>599845.53333333333</c:v>
                </c:pt>
                <c:pt idx="10">
                  <c:v>2374142.7333333334</c:v>
                </c:pt>
                <c:pt idx="11">
                  <c:v>751228.73333333328</c:v>
                </c:pt>
                <c:pt idx="12">
                  <c:v>574834</c:v>
                </c:pt>
                <c:pt idx="13">
                  <c:v>1346907.1333333333</c:v>
                </c:pt>
                <c:pt idx="14">
                  <c:v>887533.46666666667</c:v>
                </c:pt>
                <c:pt idx="15">
                  <c:v>1644614.9333333333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B-C941-8338-FEAFB21EF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917552"/>
        <c:axId val="2055919264"/>
      </c:scatterChart>
      <c:valAx>
        <c:axId val="205591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55919264"/>
        <c:crosses val="autoZero"/>
        <c:crossBetween val="midCat"/>
      </c:valAx>
      <c:valAx>
        <c:axId val="20559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5591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'парный линейн'!$N$3</c:f>
              <c:strCache>
                <c:ptCount val="1"/>
                <c:pt idx="0">
                  <c:v>x4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'парный линейн'!$M$4:$M$19</c:f>
              <c:numCache>
                <c:formatCode>#,##0</c:formatCode>
                <c:ptCount val="16"/>
                <c:pt idx="0">
                  <c:v>1907.4000000000003</c:v>
                </c:pt>
                <c:pt idx="1">
                  <c:v>2582.5333333333333</c:v>
                </c:pt>
                <c:pt idx="2">
                  <c:v>1191.0999999999999</c:v>
                </c:pt>
                <c:pt idx="3">
                  <c:v>3146.1488888888885</c:v>
                </c:pt>
                <c:pt idx="4">
                  <c:v>3321.0733333333333</c:v>
                </c:pt>
                <c:pt idx="5">
                  <c:v>1070.3933333333332</c:v>
                </c:pt>
                <c:pt idx="6">
                  <c:v>2855.5600000000004</c:v>
                </c:pt>
                <c:pt idx="7">
                  <c:v>2085.46</c:v>
                </c:pt>
                <c:pt idx="8">
                  <c:v>1813.8199999999997</c:v>
                </c:pt>
                <c:pt idx="9">
                  <c:v>4040.7400000000002</c:v>
                </c:pt>
                <c:pt idx="10">
                  <c:v>874.99333333333334</c:v>
                </c:pt>
                <c:pt idx="11">
                  <c:v>2876.4333333333334</c:v>
                </c:pt>
                <c:pt idx="12">
                  <c:v>1808.3200000000002</c:v>
                </c:pt>
                <c:pt idx="13">
                  <c:v>2114.98</c:v>
                </c:pt>
                <c:pt idx="14">
                  <c:v>4993.3399999999992</c:v>
                </c:pt>
                <c:pt idx="15">
                  <c:v>5325.7800000000007</c:v>
                </c:pt>
              </c:numCache>
            </c:numRef>
          </c:xVal>
          <c:yVal>
            <c:numRef>
              <c:f>'парный линейн'!$N$4:$N$19</c:f>
              <c:numCache>
                <c:formatCode>#,##0.00</c:formatCode>
                <c:ptCount val="16"/>
                <c:pt idx="0">
                  <c:v>58.659854289439131</c:v>
                </c:pt>
                <c:pt idx="1">
                  <c:v>52.012057141546194</c:v>
                </c:pt>
                <c:pt idx="2">
                  <c:v>51.201257735567715</c:v>
                </c:pt>
                <c:pt idx="3">
                  <c:v>52.17390431176684</c:v>
                </c:pt>
                <c:pt idx="4">
                  <c:v>53.08116827324163</c:v>
                </c:pt>
                <c:pt idx="5">
                  <c:v>50.991659258009854</c:v>
                </c:pt>
                <c:pt idx="6">
                  <c:v>51.912820218070557</c:v>
                </c:pt>
                <c:pt idx="7">
                  <c:v>59.393740500778058</c:v>
                </c:pt>
                <c:pt idx="8">
                  <c:v>45.274321314000602</c:v>
                </c:pt>
                <c:pt idx="9">
                  <c:v>46.867649109714435</c:v>
                </c:pt>
                <c:pt idx="10">
                  <c:v>38.418339465399278</c:v>
                </c:pt>
                <c:pt idx="11">
                  <c:v>56.515202316615415</c:v>
                </c:pt>
                <c:pt idx="12">
                  <c:v>58.157644943256038</c:v>
                </c:pt>
                <c:pt idx="13">
                  <c:v>52.781679661544075</c:v>
                </c:pt>
                <c:pt idx="14">
                  <c:v>55.443789053287489</c:v>
                </c:pt>
                <c:pt idx="15">
                  <c:v>52.879669160540061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9-B44F-86A7-452447DA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110640"/>
        <c:axId val="1876063728"/>
      </c:scatterChart>
      <c:valAx>
        <c:axId val="205611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76063728"/>
        <c:crosses val="autoZero"/>
        <c:crossBetween val="midCat"/>
      </c:valAx>
      <c:valAx>
        <c:axId val="187606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5611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'парный линейн'!$N$40</c:f>
              <c:strCache>
                <c:ptCount val="1"/>
                <c:pt idx="0">
                  <c:v>x5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'парный линейн'!$M$41:$M$56</c:f>
              <c:numCache>
                <c:formatCode>#,##0</c:formatCode>
                <c:ptCount val="16"/>
                <c:pt idx="0">
                  <c:v>1907.4000000000003</c:v>
                </c:pt>
                <c:pt idx="1">
                  <c:v>2582.5333333333333</c:v>
                </c:pt>
                <c:pt idx="2">
                  <c:v>1191.0999999999999</c:v>
                </c:pt>
                <c:pt idx="3">
                  <c:v>3146.1488888888885</c:v>
                </c:pt>
                <c:pt idx="4">
                  <c:v>3321.0733333333333</c:v>
                </c:pt>
                <c:pt idx="5">
                  <c:v>1070.3933333333332</c:v>
                </c:pt>
                <c:pt idx="6">
                  <c:v>2855.5600000000004</c:v>
                </c:pt>
                <c:pt idx="7">
                  <c:v>2085.46</c:v>
                </c:pt>
                <c:pt idx="8">
                  <c:v>1813.8199999999997</c:v>
                </c:pt>
                <c:pt idx="9">
                  <c:v>4040.7400000000002</c:v>
                </c:pt>
                <c:pt idx="10">
                  <c:v>874.99333333333334</c:v>
                </c:pt>
                <c:pt idx="11">
                  <c:v>2876.4333333333334</c:v>
                </c:pt>
                <c:pt idx="12">
                  <c:v>1808.3200000000002</c:v>
                </c:pt>
                <c:pt idx="13">
                  <c:v>2114.98</c:v>
                </c:pt>
                <c:pt idx="14">
                  <c:v>4993.3399999999992</c:v>
                </c:pt>
                <c:pt idx="15">
                  <c:v>5325.7800000000007</c:v>
                </c:pt>
              </c:numCache>
            </c:numRef>
          </c:xVal>
          <c:yVal>
            <c:numRef>
              <c:f>'парный линейн'!$N$41:$N$56</c:f>
              <c:numCache>
                <c:formatCode>#,##0</c:formatCode>
                <c:ptCount val="16"/>
                <c:pt idx="0">
                  <c:v>434199.86666666664</c:v>
                </c:pt>
                <c:pt idx="1">
                  <c:v>425996.93333333335</c:v>
                </c:pt>
                <c:pt idx="2">
                  <c:v>974092.80000000005</c:v>
                </c:pt>
                <c:pt idx="3">
                  <c:v>303734.66666666669</c:v>
                </c:pt>
                <c:pt idx="4">
                  <c:v>335477.33333333331</c:v>
                </c:pt>
                <c:pt idx="5">
                  <c:v>554854.93333333335</c:v>
                </c:pt>
                <c:pt idx="6">
                  <c:v>701409.1333333333</c:v>
                </c:pt>
                <c:pt idx="7">
                  <c:v>520758.73333333334</c:v>
                </c:pt>
                <c:pt idx="8">
                  <c:v>336808.93333333335</c:v>
                </c:pt>
                <c:pt idx="9">
                  <c:v>281357.40000000002</c:v>
                </c:pt>
                <c:pt idx="10">
                  <c:v>900458</c:v>
                </c:pt>
                <c:pt idx="11">
                  <c:v>424483.8</c:v>
                </c:pt>
                <c:pt idx="12">
                  <c:v>334883.8</c:v>
                </c:pt>
                <c:pt idx="13">
                  <c:v>711156.2</c:v>
                </c:pt>
                <c:pt idx="14">
                  <c:v>485758.86666666664</c:v>
                </c:pt>
                <c:pt idx="15">
                  <c:v>868974.33333333337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89-954D-A90E-5EC049A49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985904"/>
        <c:axId val="1820060976"/>
      </c:scatterChart>
      <c:valAx>
        <c:axId val="206198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20060976"/>
        <c:crosses val="autoZero"/>
        <c:crossBetween val="midCat"/>
      </c:valAx>
      <c:valAx>
        <c:axId val="182006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6198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степенная!$B$4:$B$19</c:f>
              <c:numCache>
                <c:formatCode>#,##0</c:formatCode>
                <c:ptCount val="16"/>
                <c:pt idx="0">
                  <c:v>1907.4000000000003</c:v>
                </c:pt>
                <c:pt idx="1">
                  <c:v>2582.5333333333333</c:v>
                </c:pt>
                <c:pt idx="2">
                  <c:v>1191.0999999999999</c:v>
                </c:pt>
                <c:pt idx="3">
                  <c:v>3146.1488888888885</c:v>
                </c:pt>
                <c:pt idx="4">
                  <c:v>3321.0733333333333</c:v>
                </c:pt>
                <c:pt idx="5">
                  <c:v>1070.3933333333332</c:v>
                </c:pt>
                <c:pt idx="6">
                  <c:v>2855.5600000000004</c:v>
                </c:pt>
                <c:pt idx="7">
                  <c:v>2085.46</c:v>
                </c:pt>
                <c:pt idx="8">
                  <c:v>1813.8199999999997</c:v>
                </c:pt>
                <c:pt idx="9">
                  <c:v>4040.7400000000002</c:v>
                </c:pt>
                <c:pt idx="10">
                  <c:v>874.99333333333334</c:v>
                </c:pt>
                <c:pt idx="11">
                  <c:v>2876.4333333333334</c:v>
                </c:pt>
                <c:pt idx="12">
                  <c:v>1808.3200000000002</c:v>
                </c:pt>
                <c:pt idx="13">
                  <c:v>2114.98</c:v>
                </c:pt>
                <c:pt idx="14">
                  <c:v>4993.3399999999992</c:v>
                </c:pt>
                <c:pt idx="15">
                  <c:v>5325.7800000000007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1-6247-BB5D-03899DB7CAD7}"/>
            </c:ext>
          </c:extLst>
        </c:ser>
        <c:ser>
          <c:idx val="1"/>
          <c:order val="1"/>
          <c:tx>
            <c:v>y^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степенная!$P$4:$P$19</c:f>
              <c:numCache>
                <c:formatCode>0.00</c:formatCode>
                <c:ptCount val="16"/>
                <c:pt idx="0">
                  <c:v>1400.7635174674062</c:v>
                </c:pt>
                <c:pt idx="1">
                  <c:v>1400.6372047903262</c:v>
                </c:pt>
                <c:pt idx="2">
                  <c:v>1408.9444557391146</c:v>
                </c:pt>
                <c:pt idx="3">
                  <c:v>1385.8494362261781</c:v>
                </c:pt>
                <c:pt idx="4">
                  <c:v>1403.3083118544625</c:v>
                </c:pt>
                <c:pt idx="5">
                  <c:v>1413.8805674644307</c:v>
                </c:pt>
                <c:pt idx="6">
                  <c:v>1429.7011835205722</c:v>
                </c:pt>
                <c:pt idx="7">
                  <c:v>1408.0976723191654</c:v>
                </c:pt>
                <c:pt idx="8">
                  <c:v>1390.292543825653</c:v>
                </c:pt>
                <c:pt idx="9">
                  <c:v>1377.5976941234137</c:v>
                </c:pt>
                <c:pt idx="10">
                  <c:v>1414.7300503474521</c:v>
                </c:pt>
                <c:pt idx="11">
                  <c:v>1397.5475412513777</c:v>
                </c:pt>
                <c:pt idx="12">
                  <c:v>1382.1176894785713</c:v>
                </c:pt>
                <c:pt idx="13">
                  <c:v>1423.3452105098643</c:v>
                </c:pt>
                <c:pt idx="14">
                  <c:v>1418.4486073131927</c:v>
                </c:pt>
                <c:pt idx="15">
                  <c:v>1478.4597631669742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61-6247-BB5D-03899DB7C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153808"/>
        <c:axId val="1615687680"/>
      </c:scatterChart>
      <c:valAx>
        <c:axId val="161515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15687680"/>
        <c:crosses val="autoZero"/>
        <c:crossBetween val="midCat"/>
      </c:valAx>
      <c:valAx>
        <c:axId val="161568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1515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мультиколлинеарность!$B$23:$B$38</c:f>
              <c:numCache>
                <c:formatCode>#,##0</c:formatCode>
                <c:ptCount val="16"/>
                <c:pt idx="0">
                  <c:v>1907.4000000000003</c:v>
                </c:pt>
                <c:pt idx="1">
                  <c:v>2582.5333333333333</c:v>
                </c:pt>
                <c:pt idx="2">
                  <c:v>1191.0999999999999</c:v>
                </c:pt>
                <c:pt idx="3">
                  <c:v>3146.1488888888885</c:v>
                </c:pt>
                <c:pt idx="4">
                  <c:v>3321.0733333333333</c:v>
                </c:pt>
                <c:pt idx="5">
                  <c:v>1070.3933333333332</c:v>
                </c:pt>
                <c:pt idx="6">
                  <c:v>2855.5600000000004</c:v>
                </c:pt>
                <c:pt idx="7">
                  <c:v>2085.46</c:v>
                </c:pt>
                <c:pt idx="8">
                  <c:v>1813.8199999999997</c:v>
                </c:pt>
                <c:pt idx="9">
                  <c:v>4040.7400000000002</c:v>
                </c:pt>
                <c:pt idx="10">
                  <c:v>874.99333333333334</c:v>
                </c:pt>
                <c:pt idx="11">
                  <c:v>2876.4333333333334</c:v>
                </c:pt>
                <c:pt idx="12">
                  <c:v>1808.3200000000002</c:v>
                </c:pt>
                <c:pt idx="13">
                  <c:v>2114.98</c:v>
                </c:pt>
                <c:pt idx="14">
                  <c:v>4993.3399999999992</c:v>
                </c:pt>
                <c:pt idx="15">
                  <c:v>5325.7800000000007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BB-0B4E-B903-C4127A831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518656"/>
        <c:axId val="1980970144"/>
      </c:scatterChart>
      <c:scatterChart>
        <c:scatterStyle val="smoothMarker"/>
        <c:varyColors val="0"/>
        <c:ser>
          <c:idx val="1"/>
          <c:order val="1"/>
          <c:tx>
            <c:v>y^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мультиколлинеарность!$G$23:$G$38</c:f>
              <c:numCache>
                <c:formatCode>General</c:formatCode>
                <c:ptCount val="16"/>
                <c:pt idx="0">
                  <c:v>3811.1879953289704</c:v>
                </c:pt>
                <c:pt idx="1">
                  <c:v>4238.1651547431265</c:v>
                </c:pt>
                <c:pt idx="2">
                  <c:v>3782.4461591614427</c:v>
                </c:pt>
                <c:pt idx="3">
                  <c:v>3895.7776780060744</c:v>
                </c:pt>
                <c:pt idx="4">
                  <c:v>4353.0924483850122</c:v>
                </c:pt>
                <c:pt idx="5">
                  <c:v>4345.0064858339219</c:v>
                </c:pt>
                <c:pt idx="6">
                  <c:v>5192.7317647977061</c:v>
                </c:pt>
                <c:pt idx="7">
                  <c:v>4004.8160667386001</c:v>
                </c:pt>
                <c:pt idx="8">
                  <c:v>3938.7944695450356</c:v>
                </c:pt>
                <c:pt idx="9">
                  <c:v>3517.7097853937762</c:v>
                </c:pt>
                <c:pt idx="10">
                  <c:v>3843.0551290008061</c:v>
                </c:pt>
                <c:pt idx="11">
                  <c:v>3973.2402275903696</c:v>
                </c:pt>
                <c:pt idx="12">
                  <c:v>3491.4600174388979</c:v>
                </c:pt>
                <c:pt idx="13">
                  <c:v>4616.1667587168613</c:v>
                </c:pt>
                <c:pt idx="14">
                  <c:v>4742.5019222330102</c:v>
                </c:pt>
                <c:pt idx="15">
                  <c:v>8207.5578534383039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BB-0B4E-B903-C4127A831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518656"/>
        <c:axId val="1980970144"/>
      </c:scatterChart>
      <c:valAx>
        <c:axId val="175351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980970144"/>
        <c:crosses val="autoZero"/>
        <c:crossBetween val="midCat"/>
      </c:valAx>
      <c:valAx>
        <c:axId val="198097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5351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ВРП</a:t>
            </a:r>
            <a:r>
              <a:rPr lang="ru-RU" baseline="0"/>
              <a:t> на душу населения и численность выпускников вузов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Лист4!$C$4:$C$19</c:f>
              <c:numCache>
                <c:formatCode>#,##0</c:formatCode>
                <c:ptCount val="16"/>
                <c:pt idx="0">
                  <c:v>5166.6000000000004</c:v>
                </c:pt>
                <c:pt idx="1">
                  <c:v>6248.8</c:v>
                </c:pt>
                <c:pt idx="2">
                  <c:v>2590.8666666666668</c:v>
                </c:pt>
                <c:pt idx="3">
                  <c:v>3812.8</c:v>
                </c:pt>
                <c:pt idx="4">
                  <c:v>8445.7999999999993</c:v>
                </c:pt>
                <c:pt idx="5">
                  <c:v>8099.6</c:v>
                </c:pt>
                <c:pt idx="6">
                  <c:v>13834.266666666666</c:v>
                </c:pt>
                <c:pt idx="7">
                  <c:v>6453.2</c:v>
                </c:pt>
                <c:pt idx="8">
                  <c:v>4070.2</c:v>
                </c:pt>
                <c:pt idx="9">
                  <c:v>1778.5333333333333</c:v>
                </c:pt>
                <c:pt idx="10">
                  <c:v>3039.1333333333332</c:v>
                </c:pt>
                <c:pt idx="11">
                  <c:v>5027.3999999999996</c:v>
                </c:pt>
                <c:pt idx="12">
                  <c:v>2118.2666666666669</c:v>
                </c:pt>
                <c:pt idx="13">
                  <c:v>9941</c:v>
                </c:pt>
                <c:pt idx="14">
                  <c:v>11644.466666666667</c:v>
                </c:pt>
                <c:pt idx="15">
                  <c:v>42013.066666666666</c:v>
                </c:pt>
              </c:numCache>
            </c:numRef>
          </c:xVal>
          <c:yVal>
            <c:numRef>
              <c:f>Лист4!$B$4:$B$19</c:f>
              <c:numCache>
                <c:formatCode>#,##0</c:formatCode>
                <c:ptCount val="16"/>
                <c:pt idx="0">
                  <c:v>1907.4000000000003</c:v>
                </c:pt>
                <c:pt idx="1">
                  <c:v>2582.5333333333333</c:v>
                </c:pt>
                <c:pt idx="2">
                  <c:v>1191.0999999999999</c:v>
                </c:pt>
                <c:pt idx="3">
                  <c:v>9438.4466666666649</c:v>
                </c:pt>
                <c:pt idx="4">
                  <c:v>3321.0733333333333</c:v>
                </c:pt>
                <c:pt idx="5">
                  <c:v>1070.3933333333332</c:v>
                </c:pt>
                <c:pt idx="6">
                  <c:v>2855.5600000000004</c:v>
                </c:pt>
                <c:pt idx="7">
                  <c:v>2085.46</c:v>
                </c:pt>
                <c:pt idx="8">
                  <c:v>1813.8199999999997</c:v>
                </c:pt>
                <c:pt idx="9">
                  <c:v>4040.7400000000002</c:v>
                </c:pt>
                <c:pt idx="10">
                  <c:v>874.99333333333334</c:v>
                </c:pt>
                <c:pt idx="11">
                  <c:v>2876.4333333333334</c:v>
                </c:pt>
                <c:pt idx="12">
                  <c:v>1808.3200000000002</c:v>
                </c:pt>
                <c:pt idx="13">
                  <c:v>2114.98</c:v>
                </c:pt>
                <c:pt idx="14">
                  <c:v>4993.3399999999992</c:v>
                </c:pt>
                <c:pt idx="15">
                  <c:v>5325.7800000000007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C-D74A-B116-0F2067E3D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513232"/>
        <c:axId val="1805097488"/>
      </c:scatterChart>
      <c:valAx>
        <c:axId val="182751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численность</a:t>
                </a:r>
                <a:r>
                  <a:rPr lang="ru-RU" baseline="0"/>
                  <a:t> выпускников вузов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05097488"/>
        <c:crosses val="autoZero"/>
        <c:crossBetween val="midCat"/>
      </c:valAx>
      <c:valAx>
        <c:axId val="180509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ВРП</a:t>
                </a:r>
                <a:r>
                  <a:rPr lang="ru-RU" baseline="0"/>
                  <a:t> на душу населения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2751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654050</xdr:colOff>
      <xdr:row>19</xdr:row>
      <xdr:rowOff>127000</xdr:rowOff>
    </xdr:from>
    <xdr:to>
      <xdr:col>7</xdr:col>
      <xdr:colOff>419100</xdr:colOff>
      <xdr:row>31</xdr:row>
      <xdr:rowOff>139700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98E234E-885D-5D93-ABCC-96E322C44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501650</xdr:colOff>
      <xdr:row>19</xdr:row>
      <xdr:rowOff>152400</xdr:rowOff>
    </xdr:from>
    <xdr:to>
      <xdr:col>14</xdr:col>
      <xdr:colOff>120650</xdr:colOff>
      <xdr:row>33</xdr:row>
      <xdr:rowOff>12700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24B6204-C8B9-D6E1-39AE-A64A90253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590550</xdr:colOff>
      <xdr:row>3</xdr:row>
      <xdr:rowOff>107950</xdr:rowOff>
    </xdr:from>
    <xdr:to>
      <xdr:col>17</xdr:col>
      <xdr:colOff>209550</xdr:colOff>
      <xdr:row>17</xdr:row>
      <xdr:rowOff>6350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B15D868-94E1-FF69-3E08-5F3DB2367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4</xdr:row>
      <xdr:rowOff>139700</xdr:rowOff>
    </xdr:from>
    <xdr:to>
      <xdr:col>12</xdr:col>
      <xdr:colOff>577850</xdr:colOff>
      <xdr:row>18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81B23E7-DF1F-437C-54C0-42E29A483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209550</xdr:colOff>
      <xdr:row>38</xdr:row>
      <xdr:rowOff>127000</xdr:rowOff>
    </xdr:from>
    <xdr:to>
      <xdr:col>8</xdr:col>
      <xdr:colOff>654050</xdr:colOff>
      <xdr:row>52</xdr:row>
      <xdr:rowOff>25400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38DA709-45DF-F44A-FD12-3A30A0A55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819150</xdr:colOff>
      <xdr:row>81</xdr:row>
      <xdr:rowOff>50800</xdr:rowOff>
    </xdr:from>
    <xdr:to>
      <xdr:col>8</xdr:col>
      <xdr:colOff>438150</xdr:colOff>
      <xdr:row>94</xdr:row>
      <xdr:rowOff>152400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663D74C-C9B0-E184-84A7-BC18A59D3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755650</xdr:colOff>
      <xdr:row>3</xdr:row>
      <xdr:rowOff>139700</xdr:rowOff>
    </xdr:from>
    <xdr:to>
      <xdr:col>20</xdr:col>
      <xdr:colOff>374650</xdr:colOff>
      <xdr:row>17</xdr:row>
      <xdr:rowOff>38100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D8CA907-B02B-7019-3154-34647D4FF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679450</xdr:colOff>
      <xdr:row>40</xdr:row>
      <xdr:rowOff>165100</xdr:rowOff>
    </xdr:from>
    <xdr:to>
      <xdr:col>20</xdr:col>
      <xdr:colOff>298450</xdr:colOff>
      <xdr:row>54</xdr:row>
      <xdr:rowOff>63500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85653FB-664C-AA5D-BAD2-6ABEA0FB9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298450</xdr:colOff>
      <xdr:row>20</xdr:row>
      <xdr:rowOff>25400</xdr:rowOff>
    </xdr:from>
    <xdr:to>
      <xdr:col>14</xdr:col>
      <xdr:colOff>742950</xdr:colOff>
      <xdr:row>33</xdr:row>
      <xdr:rowOff>127000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F321CEC-E9FC-E86A-2D40-61F33B005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614515</xdr:colOff>
      <xdr:row>12</xdr:row>
      <xdr:rowOff>68279</xdr:rowOff>
    </xdr:from>
    <xdr:to>
      <xdr:col>14</xdr:col>
      <xdr:colOff>778387</xdr:colOff>
      <xdr:row>29</xdr:row>
      <xdr:rowOff>163870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D17DEA1-DDA5-1128-DF53-C7E44DAF9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3</xdr:row>
      <xdr:rowOff>152400</xdr:rowOff>
    </xdr:from>
    <xdr:to>
      <xdr:col>12</xdr:col>
      <xdr:colOff>749300</xdr:colOff>
      <xdr:row>24</xdr:row>
      <xdr:rowOff>63500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A75D174-591B-CC14-6023-3F6C029EC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33A8-6934-C24F-AAF9-FDF4692E9FB4}">
  <dimension ref="A1:U130"/>
  <sheetViews>
    <sheetView topLeftCell="A30" zoomScale="82" zoomScaleNormal="100" workbookViewId="0">
      <selection activeCell="B69" sqref="B69:Q69"/>
    </sheetView>
  </sheetViews>
  <sheetFormatPr baseColWidth="10" defaultRowHeight="16"/>
  <sheetData>
    <row r="1" spans="1:21" ht="18">
      <c r="A1" s="3" t="s">
        <v>69</v>
      </c>
      <c r="B1" s="38"/>
      <c r="C1" s="1"/>
      <c r="D1" s="1"/>
      <c r="E1" s="1"/>
      <c r="F1" s="1" t="s">
        <v>57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1">
      <c r="A2" s="23"/>
      <c r="B2" s="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1" ht="17">
      <c r="A3" s="4"/>
      <c r="B3" s="4" t="s">
        <v>58</v>
      </c>
      <c r="C3" s="4" t="s">
        <v>59</v>
      </c>
      <c r="D3" s="4" t="s">
        <v>44</v>
      </c>
      <c r="E3" s="24" t="s">
        <v>45</v>
      </c>
      <c r="F3" s="4" t="s">
        <v>46</v>
      </c>
      <c r="G3" s="4" t="s">
        <v>47</v>
      </c>
      <c r="H3" s="4" t="s">
        <v>48</v>
      </c>
      <c r="I3" s="24" t="s">
        <v>49</v>
      </c>
      <c r="J3" s="24" t="s">
        <v>50</v>
      </c>
      <c r="K3" s="5" t="s">
        <v>51</v>
      </c>
      <c r="L3" s="5" t="s">
        <v>52</v>
      </c>
      <c r="M3" s="5" t="s">
        <v>53</v>
      </c>
      <c r="N3" s="5" t="s">
        <v>54</v>
      </c>
      <c r="O3" s="5" t="s">
        <v>16</v>
      </c>
      <c r="P3" s="6" t="s">
        <v>55</v>
      </c>
      <c r="Q3" s="5" t="s">
        <v>56</v>
      </c>
    </row>
    <row r="4" spans="1:21">
      <c r="A4" s="46" t="s">
        <v>0</v>
      </c>
      <c r="B4" s="25">
        <v>1024.2</v>
      </c>
      <c r="C4" s="25">
        <v>1056.8</v>
      </c>
      <c r="D4" s="25">
        <v>1336.5</v>
      </c>
      <c r="E4" s="47">
        <v>1705.8</v>
      </c>
      <c r="F4" s="25">
        <v>1847.1</v>
      </c>
      <c r="G4" s="25">
        <v>2113.1999999999998</v>
      </c>
      <c r="H4" s="25">
        <v>2294.8000000000002</v>
      </c>
      <c r="I4" s="9">
        <v>2330.4</v>
      </c>
      <c r="J4" s="9">
        <v>2639.7</v>
      </c>
      <c r="K4" s="9">
        <v>3014.7</v>
      </c>
      <c r="L4" s="9">
        <v>3382.5</v>
      </c>
      <c r="M4" s="25">
        <v>3755.7</v>
      </c>
      <c r="N4" s="9">
        <v>3766.8</v>
      </c>
      <c r="O4" s="9">
        <v>4417.8999999999996</v>
      </c>
      <c r="P4" s="9">
        <v>5284.7</v>
      </c>
      <c r="Q4" s="48">
        <f>AVERAGE(B4:P4)</f>
        <v>2664.72</v>
      </c>
      <c r="S4" s="74">
        <f>Q4/1000</f>
        <v>2.66472</v>
      </c>
      <c r="U4" s="74">
        <f t="shared" ref="U4:U20" si="0">LN(S4)</f>
        <v>0.9800989864319829</v>
      </c>
    </row>
    <row r="5" spans="1:21">
      <c r="A5" s="8" t="s">
        <v>1</v>
      </c>
      <c r="B5" s="25">
        <v>641.4</v>
      </c>
      <c r="C5" s="25">
        <v>712.1</v>
      </c>
      <c r="D5" s="25">
        <v>798.1</v>
      </c>
      <c r="E5" s="47">
        <v>1099</v>
      </c>
      <c r="F5" s="25">
        <v>1092.8</v>
      </c>
      <c r="G5" s="25">
        <v>1301.7</v>
      </c>
      <c r="H5" s="25">
        <v>1427.9</v>
      </c>
      <c r="I5" s="9">
        <v>1513.9</v>
      </c>
      <c r="J5" s="9">
        <v>1818.2</v>
      </c>
      <c r="K5" s="9">
        <v>2107.8000000000002</v>
      </c>
      <c r="L5" s="9">
        <v>2301</v>
      </c>
      <c r="M5" s="25">
        <v>2621.1999999999998</v>
      </c>
      <c r="N5" s="9">
        <v>3102.5</v>
      </c>
      <c r="O5" s="9">
        <v>3644.9</v>
      </c>
      <c r="P5" s="26">
        <v>4428.5</v>
      </c>
      <c r="Q5" s="48">
        <f t="shared" ref="Q5:Q20" si="1">AVERAGE(B5:P5)</f>
        <v>1907.4000000000003</v>
      </c>
      <c r="R5" s="22"/>
      <c r="S5" s="74">
        <f t="shared" ref="S5:S20" si="2">Q5/1000</f>
        <v>1.9074000000000004</v>
      </c>
      <c r="U5" s="74">
        <f t="shared" si="0"/>
        <v>0.64574105816267524</v>
      </c>
    </row>
    <row r="6" spans="1:21">
      <c r="A6" s="8" t="s">
        <v>2</v>
      </c>
      <c r="B6" s="25">
        <v>1231.0999999999999</v>
      </c>
      <c r="C6" s="25">
        <v>1122.9000000000001</v>
      </c>
      <c r="D6" s="25">
        <v>1523.1</v>
      </c>
      <c r="E6" s="47">
        <v>1998.2</v>
      </c>
      <c r="F6" s="25">
        <v>2220.6999999999998</v>
      </c>
      <c r="G6" s="25">
        <v>2298.1</v>
      </c>
      <c r="H6" s="25">
        <v>2361.4</v>
      </c>
      <c r="I6" s="9">
        <v>2135</v>
      </c>
      <c r="J6" s="9">
        <v>2464.9</v>
      </c>
      <c r="K6" s="9">
        <v>2749.7</v>
      </c>
      <c r="L6" s="9">
        <v>3136</v>
      </c>
      <c r="M6" s="25">
        <v>3396.8</v>
      </c>
      <c r="N6" s="9">
        <v>3329.8</v>
      </c>
      <c r="O6" s="9">
        <v>3982.1</v>
      </c>
      <c r="P6" s="26">
        <v>4788.2</v>
      </c>
      <c r="Q6" s="48">
        <f t="shared" si="1"/>
        <v>2582.5333333333333</v>
      </c>
      <c r="R6" s="22"/>
      <c r="S6" s="74">
        <f t="shared" si="2"/>
        <v>2.5825333333333331</v>
      </c>
      <c r="U6" s="74">
        <f t="shared" si="0"/>
        <v>0.94877082931783729</v>
      </c>
    </row>
    <row r="7" spans="1:21">
      <c r="A7" s="8" t="s">
        <v>3</v>
      </c>
      <c r="B7" s="25">
        <v>409.2</v>
      </c>
      <c r="C7" s="25">
        <v>424.8</v>
      </c>
      <c r="D7" s="25">
        <v>537.9</v>
      </c>
      <c r="E7" s="47">
        <v>654</v>
      </c>
      <c r="F7" s="25">
        <v>751</v>
      </c>
      <c r="G7" s="25">
        <v>886.2</v>
      </c>
      <c r="H7" s="25">
        <v>1002.1</v>
      </c>
      <c r="I7" s="9">
        <v>1021.3</v>
      </c>
      <c r="J7" s="9">
        <v>1114.2</v>
      </c>
      <c r="K7" s="9">
        <v>1235.8</v>
      </c>
      <c r="L7" s="9">
        <v>1378.2</v>
      </c>
      <c r="M7" s="25">
        <v>1585.5</v>
      </c>
      <c r="N7" s="9">
        <v>1805.2</v>
      </c>
      <c r="O7" s="9">
        <v>2201.1</v>
      </c>
      <c r="P7" s="26">
        <v>2860</v>
      </c>
      <c r="Q7" s="48">
        <f t="shared" si="1"/>
        <v>1191.0999999999999</v>
      </c>
      <c r="R7" s="22"/>
      <c r="S7" s="74">
        <f t="shared" si="2"/>
        <v>1.1910999999999998</v>
      </c>
      <c r="U7" s="74">
        <f t="shared" si="0"/>
        <v>0.17487724990471804</v>
      </c>
    </row>
    <row r="8" spans="1:21">
      <c r="A8" s="8" t="s">
        <v>4</v>
      </c>
      <c r="B8" s="25">
        <v>3626</v>
      </c>
      <c r="C8" s="25">
        <v>3824.7</v>
      </c>
      <c r="D8" s="25">
        <v>5401</v>
      </c>
      <c r="E8" s="47">
        <v>7054</v>
      </c>
      <c r="F8" s="25">
        <v>6580.7</v>
      </c>
      <c r="G8" s="25">
        <v>7083</v>
      </c>
      <c r="H8" s="25">
        <v>7553.3</v>
      </c>
      <c r="I8" s="9">
        <v>7171.2</v>
      </c>
      <c r="J8" s="9">
        <v>8653.1</v>
      </c>
      <c r="K8" s="9">
        <v>9685.1</v>
      </c>
      <c r="L8" s="9">
        <v>12465.5</v>
      </c>
      <c r="M8" s="25">
        <v>14584.4</v>
      </c>
      <c r="N8" s="9">
        <v>11883.2</v>
      </c>
      <c r="O8" s="9">
        <v>16037.4</v>
      </c>
      <c r="P8" s="26">
        <v>19974.099999999999</v>
      </c>
      <c r="Q8" s="48">
        <f t="shared" si="1"/>
        <v>9438.4466666666649</v>
      </c>
      <c r="R8" s="22">
        <f>Q8/3</f>
        <v>3146.1488888888885</v>
      </c>
      <c r="S8" s="74">
        <f t="shared" si="2"/>
        <v>9.4384466666666658</v>
      </c>
      <c r="U8" s="74">
        <f t="shared" si="0"/>
        <v>2.2447914185952991</v>
      </c>
    </row>
    <row r="9" spans="1:21">
      <c r="A9" s="8" t="s">
        <v>5</v>
      </c>
      <c r="B9" s="25">
        <v>1339.4</v>
      </c>
      <c r="C9" s="25">
        <v>1369.1</v>
      </c>
      <c r="D9" s="25">
        <v>1730.4</v>
      </c>
      <c r="E9" s="47">
        <v>2225.4</v>
      </c>
      <c r="F9" s="25">
        <v>2865.9</v>
      </c>
      <c r="G9" s="25">
        <v>2868.1</v>
      </c>
      <c r="H9" s="25">
        <v>3170.4</v>
      </c>
      <c r="I9" s="9">
        <v>2699.6</v>
      </c>
      <c r="J9" s="9">
        <v>3179.8</v>
      </c>
      <c r="K9" s="9">
        <v>3628.4</v>
      </c>
      <c r="L9" s="9">
        <v>4295.8</v>
      </c>
      <c r="M9" s="25">
        <v>4501.2</v>
      </c>
      <c r="N9" s="9">
        <v>4151.2</v>
      </c>
      <c r="O9" s="9">
        <v>5323.6</v>
      </c>
      <c r="P9" s="26">
        <v>6467.8</v>
      </c>
      <c r="Q9" s="48">
        <f t="shared" si="1"/>
        <v>3321.0733333333333</v>
      </c>
      <c r="R9" s="22"/>
      <c r="S9" s="74">
        <f t="shared" si="2"/>
        <v>3.3210733333333331</v>
      </c>
      <c r="U9" s="74">
        <f t="shared" si="0"/>
        <v>1.2002880238531108</v>
      </c>
    </row>
    <row r="10" spans="1:21">
      <c r="A10" s="8" t="s">
        <v>6</v>
      </c>
      <c r="B10" s="25">
        <v>316.89999999999998</v>
      </c>
      <c r="C10" s="25">
        <v>339.5</v>
      </c>
      <c r="D10" s="25">
        <v>429</v>
      </c>
      <c r="E10" s="47">
        <v>602.79999999999995</v>
      </c>
      <c r="F10" s="25">
        <v>715.4</v>
      </c>
      <c r="G10" s="25">
        <v>813.9</v>
      </c>
      <c r="H10" s="25">
        <v>897.4</v>
      </c>
      <c r="I10" s="9">
        <v>918.3</v>
      </c>
      <c r="J10" s="9">
        <v>1062.7</v>
      </c>
      <c r="K10" s="9">
        <v>1210</v>
      </c>
      <c r="L10" s="9">
        <v>1366.3</v>
      </c>
      <c r="M10" s="25">
        <v>1518.8</v>
      </c>
      <c r="N10" s="9">
        <v>1675.8</v>
      </c>
      <c r="O10" s="9">
        <v>1976.9</v>
      </c>
      <c r="P10" s="26">
        <v>2212.1999999999998</v>
      </c>
      <c r="Q10" s="48">
        <f t="shared" si="1"/>
        <v>1070.3933333333332</v>
      </c>
      <c r="R10" s="22"/>
      <c r="S10" s="74">
        <f t="shared" si="2"/>
        <v>1.0703933333333333</v>
      </c>
      <c r="U10" s="74">
        <f t="shared" si="0"/>
        <v>6.8026182171136138E-2</v>
      </c>
    </row>
    <row r="11" spans="1:21">
      <c r="A11" s="8" t="s">
        <v>7</v>
      </c>
      <c r="B11" s="25">
        <v>1088.4000000000001</v>
      </c>
      <c r="C11" s="25">
        <v>1127.8</v>
      </c>
      <c r="D11" s="25">
        <v>1387.7</v>
      </c>
      <c r="E11" s="47">
        <v>1762.1</v>
      </c>
      <c r="F11" s="25">
        <v>1798.5</v>
      </c>
      <c r="G11" s="25">
        <v>1919.1</v>
      </c>
      <c r="H11" s="25">
        <v>2110.6</v>
      </c>
      <c r="I11" s="9">
        <v>2248.9</v>
      </c>
      <c r="J11" s="9">
        <v>2682.6</v>
      </c>
      <c r="K11" s="9">
        <v>3100.9</v>
      </c>
      <c r="L11" s="9">
        <v>3431.9</v>
      </c>
      <c r="M11" s="25">
        <v>3911</v>
      </c>
      <c r="N11" s="9">
        <v>4431.7</v>
      </c>
      <c r="O11" s="9">
        <v>5419.3</v>
      </c>
      <c r="P11" s="26">
        <v>6412.9</v>
      </c>
      <c r="Q11" s="48">
        <f t="shared" si="1"/>
        <v>2855.5600000000004</v>
      </c>
      <c r="R11" s="22"/>
      <c r="S11" s="74">
        <f t="shared" si="2"/>
        <v>2.8555600000000005</v>
      </c>
      <c r="U11" s="74">
        <f t="shared" si="0"/>
        <v>1.0492679709839772</v>
      </c>
    </row>
    <row r="12" spans="1:21">
      <c r="A12" s="8" t="s">
        <v>8</v>
      </c>
      <c r="B12" s="25">
        <v>789.7</v>
      </c>
      <c r="C12" s="25">
        <v>818.1</v>
      </c>
      <c r="D12" s="25">
        <v>970.8</v>
      </c>
      <c r="E12" s="47">
        <v>1288.2</v>
      </c>
      <c r="F12" s="25">
        <v>1308</v>
      </c>
      <c r="G12" s="25">
        <v>1531.5</v>
      </c>
      <c r="H12" s="25">
        <v>1583.1</v>
      </c>
      <c r="I12" s="9">
        <v>1561.7</v>
      </c>
      <c r="J12" s="9">
        <v>1727</v>
      </c>
      <c r="K12" s="9">
        <v>2108.9</v>
      </c>
      <c r="L12" s="9">
        <v>2367</v>
      </c>
      <c r="M12" s="25">
        <v>2815.9</v>
      </c>
      <c r="N12" s="9">
        <v>3314.5</v>
      </c>
      <c r="O12" s="9">
        <v>4082.8</v>
      </c>
      <c r="P12" s="26">
        <v>5014.7</v>
      </c>
      <c r="Q12" s="48">
        <f t="shared" si="1"/>
        <v>2085.46</v>
      </c>
      <c r="R12" s="22"/>
      <c r="S12" s="74">
        <f t="shared" si="2"/>
        <v>2.0854599999999999</v>
      </c>
      <c r="U12" s="74">
        <f t="shared" si="0"/>
        <v>0.73498945441817809</v>
      </c>
    </row>
    <row r="13" spans="1:21">
      <c r="A13" s="8" t="s">
        <v>9</v>
      </c>
      <c r="B13" s="25">
        <v>1075.9000000000001</v>
      </c>
      <c r="C13" s="25">
        <v>938.8</v>
      </c>
      <c r="D13" s="25">
        <v>1236.5</v>
      </c>
      <c r="E13" s="47">
        <v>1611.9</v>
      </c>
      <c r="F13" s="25">
        <v>1764.4</v>
      </c>
      <c r="G13" s="25">
        <v>1983</v>
      </c>
      <c r="H13" s="25">
        <v>1848.9</v>
      </c>
      <c r="I13" s="9">
        <v>1534.3</v>
      </c>
      <c r="J13" s="9">
        <v>1701.1</v>
      </c>
      <c r="K13" s="9">
        <v>1839</v>
      </c>
      <c r="L13" s="9">
        <v>2088.1</v>
      </c>
      <c r="M13" s="25">
        <v>2289.1</v>
      </c>
      <c r="N13" s="9">
        <v>2033.3</v>
      </c>
      <c r="O13" s="9">
        <v>2345.1</v>
      </c>
      <c r="P13" s="26">
        <v>2917.9</v>
      </c>
      <c r="Q13" s="48">
        <f t="shared" si="1"/>
        <v>1813.8199999999997</v>
      </c>
      <c r="R13" s="22"/>
      <c r="S13" s="74">
        <f t="shared" si="2"/>
        <v>1.8138199999999998</v>
      </c>
      <c r="U13" s="74">
        <f t="shared" si="0"/>
        <v>0.59543511854458142</v>
      </c>
    </row>
    <row r="14" spans="1:21">
      <c r="A14" s="8" t="s">
        <v>10</v>
      </c>
      <c r="B14" s="25">
        <v>2631</v>
      </c>
      <c r="C14" s="25">
        <v>2248.8000000000002</v>
      </c>
      <c r="D14" s="25">
        <v>2890.4</v>
      </c>
      <c r="E14" s="47">
        <v>3491.7</v>
      </c>
      <c r="F14" s="25">
        <v>3169.8</v>
      </c>
      <c r="G14" s="25">
        <v>3592.7</v>
      </c>
      <c r="H14" s="25">
        <v>4049.6</v>
      </c>
      <c r="I14" s="9">
        <v>3443</v>
      </c>
      <c r="J14" s="9">
        <v>3880.6</v>
      </c>
      <c r="K14" s="9">
        <v>5058.8</v>
      </c>
      <c r="L14" s="9">
        <v>5682.5</v>
      </c>
      <c r="M14" s="25">
        <v>5352.8</v>
      </c>
      <c r="N14" s="9">
        <v>4335.1000000000004</v>
      </c>
      <c r="O14" s="9">
        <v>4966.5</v>
      </c>
      <c r="P14" s="26">
        <v>5817.8</v>
      </c>
      <c r="Q14" s="48">
        <f t="shared" si="1"/>
        <v>4040.7400000000002</v>
      </c>
      <c r="R14" s="22"/>
      <c r="S14" s="74">
        <f t="shared" si="2"/>
        <v>4.0407400000000004</v>
      </c>
      <c r="U14" s="74">
        <f t="shared" si="0"/>
        <v>1.3964278435166226</v>
      </c>
    </row>
    <row r="15" spans="1:21">
      <c r="A15" s="8" t="s">
        <v>68</v>
      </c>
      <c r="B15" s="25">
        <v>310.39999999999998</v>
      </c>
      <c r="C15" s="25">
        <v>372.1</v>
      </c>
      <c r="D15" s="25">
        <v>474.6</v>
      </c>
      <c r="E15" s="47">
        <v>583</v>
      </c>
      <c r="F15" s="25">
        <v>705.1</v>
      </c>
      <c r="G15" s="25">
        <v>791.3</v>
      </c>
      <c r="H15" s="25">
        <v>868.9</v>
      </c>
      <c r="I15" s="9">
        <v>891.1</v>
      </c>
      <c r="J15" s="9">
        <v>975.3</v>
      </c>
      <c r="K15" s="9">
        <v>1097.7</v>
      </c>
      <c r="L15" s="9">
        <v>838.2</v>
      </c>
      <c r="M15" s="25">
        <v>1008.1</v>
      </c>
      <c r="N15" s="9">
        <v>1174.2</v>
      </c>
      <c r="O15" s="9">
        <v>1363.1</v>
      </c>
      <c r="P15" s="26">
        <v>1671.8</v>
      </c>
      <c r="Q15" s="48">
        <f t="shared" si="1"/>
        <v>874.99333333333334</v>
      </c>
      <c r="R15" s="22"/>
      <c r="S15" s="74">
        <f t="shared" si="2"/>
        <v>0.87499333333333329</v>
      </c>
      <c r="U15" s="74">
        <f t="shared" si="0"/>
        <v>-0.1335390117011668</v>
      </c>
    </row>
    <row r="16" spans="1:21">
      <c r="A16" s="8" t="s">
        <v>11</v>
      </c>
      <c r="B16" s="25">
        <v>1153.5999999999999</v>
      </c>
      <c r="C16" s="25">
        <v>1160.8</v>
      </c>
      <c r="D16" s="25">
        <v>1384.6</v>
      </c>
      <c r="E16" s="47">
        <v>2036.7</v>
      </c>
      <c r="F16" s="25">
        <v>2032.8</v>
      </c>
      <c r="G16" s="25">
        <v>2341.3000000000002</v>
      </c>
      <c r="H16" s="25">
        <v>2315.8000000000002</v>
      </c>
      <c r="I16" s="9">
        <v>2293.1</v>
      </c>
      <c r="J16" s="9">
        <v>2606.9</v>
      </c>
      <c r="K16" s="9">
        <v>3134.3</v>
      </c>
      <c r="L16" s="9">
        <v>3641.1</v>
      </c>
      <c r="M16" s="25">
        <v>4023.3</v>
      </c>
      <c r="N16" s="9">
        <v>4151.3999999999996</v>
      </c>
      <c r="O16" s="9">
        <v>5185</v>
      </c>
      <c r="P16" s="26">
        <v>5685.8</v>
      </c>
      <c r="Q16" s="48">
        <f t="shared" si="1"/>
        <v>2876.4333333333334</v>
      </c>
      <c r="R16" s="22"/>
      <c r="S16" s="74">
        <f t="shared" si="2"/>
        <v>2.8764333333333334</v>
      </c>
      <c r="U16" s="74">
        <f t="shared" si="0"/>
        <v>1.0565511007388289</v>
      </c>
    </row>
    <row r="17" spans="1:21">
      <c r="A17" s="8" t="s">
        <v>12</v>
      </c>
      <c r="B17" s="25">
        <v>619</v>
      </c>
      <c r="C17" s="25">
        <v>678.7</v>
      </c>
      <c r="D17" s="25">
        <v>790.1</v>
      </c>
      <c r="E17" s="47">
        <v>1136.7</v>
      </c>
      <c r="F17" s="25">
        <v>1168.5999999999999</v>
      </c>
      <c r="G17" s="25">
        <v>1298.2</v>
      </c>
      <c r="H17" s="25">
        <v>1386.6</v>
      </c>
      <c r="I17" s="9">
        <v>1467.2</v>
      </c>
      <c r="J17" s="9">
        <v>1621</v>
      </c>
      <c r="K17" s="9">
        <v>1985.9</v>
      </c>
      <c r="L17" s="9">
        <v>2177.6999999999998</v>
      </c>
      <c r="M17" s="25">
        <v>2505.9</v>
      </c>
      <c r="N17" s="9">
        <v>2877.7</v>
      </c>
      <c r="O17" s="9">
        <v>3313.8</v>
      </c>
      <c r="P17" s="26">
        <v>4097.7</v>
      </c>
      <c r="Q17" s="48">
        <f t="shared" si="1"/>
        <v>1808.3200000000002</v>
      </c>
      <c r="R17" s="22"/>
      <c r="S17" s="74">
        <f t="shared" si="2"/>
        <v>1.8083200000000001</v>
      </c>
      <c r="U17" s="74">
        <f t="shared" si="0"/>
        <v>0.5923982374593415</v>
      </c>
    </row>
    <row r="18" spans="1:21">
      <c r="A18" s="8" t="s">
        <v>13</v>
      </c>
      <c r="B18" s="25">
        <v>627.9</v>
      </c>
      <c r="C18" s="25">
        <v>703.9</v>
      </c>
      <c r="D18" s="25">
        <v>889.8</v>
      </c>
      <c r="E18" s="47">
        <v>1160.9000000000001</v>
      </c>
      <c r="F18" s="25">
        <v>1299.0999999999999</v>
      </c>
      <c r="G18" s="25">
        <v>1480.1</v>
      </c>
      <c r="H18" s="25">
        <v>1636.7</v>
      </c>
      <c r="I18" s="9">
        <v>1656.2</v>
      </c>
      <c r="J18" s="9">
        <v>2006</v>
      </c>
      <c r="K18" s="9">
        <v>2289.5</v>
      </c>
      <c r="L18" s="9">
        <v>2598.8000000000002</v>
      </c>
      <c r="M18" s="25">
        <v>2929.2</v>
      </c>
      <c r="N18" s="9">
        <v>3369.8</v>
      </c>
      <c r="O18" s="9">
        <v>3723</v>
      </c>
      <c r="P18" s="26">
        <v>5353.8</v>
      </c>
      <c r="Q18" s="48">
        <f t="shared" si="1"/>
        <v>2114.98</v>
      </c>
      <c r="R18" s="22"/>
      <c r="S18" s="74">
        <f t="shared" si="2"/>
        <v>2.1149800000000001</v>
      </c>
      <c r="U18" s="74">
        <f t="shared" si="0"/>
        <v>0.74904535618875512</v>
      </c>
    </row>
    <row r="19" spans="1:21">
      <c r="A19" s="8" t="s">
        <v>14</v>
      </c>
      <c r="B19" s="25">
        <v>2080.1999999999998</v>
      </c>
      <c r="C19" s="25">
        <v>2189.4</v>
      </c>
      <c r="D19" s="25">
        <v>2635.7</v>
      </c>
      <c r="E19" s="47">
        <v>2980.3</v>
      </c>
      <c r="F19" s="25">
        <v>3479.6</v>
      </c>
      <c r="G19" s="25">
        <v>4374.3</v>
      </c>
      <c r="H19" s="25">
        <v>4821.6000000000004</v>
      </c>
      <c r="I19" s="9">
        <v>5574.8</v>
      </c>
      <c r="J19" s="9">
        <v>5273.3</v>
      </c>
      <c r="K19" s="9">
        <v>5766.2</v>
      </c>
      <c r="L19" s="9">
        <v>6359.5</v>
      </c>
      <c r="M19" s="25">
        <v>7075.8</v>
      </c>
      <c r="N19" s="9">
        <v>6873.6</v>
      </c>
      <c r="O19" s="9">
        <v>7361.9</v>
      </c>
      <c r="P19" s="26">
        <v>8053.9</v>
      </c>
      <c r="Q19" s="48">
        <f t="shared" si="1"/>
        <v>4993.3399999999992</v>
      </c>
      <c r="R19" s="22"/>
      <c r="S19" s="74">
        <f t="shared" si="2"/>
        <v>4.993339999999999</v>
      </c>
      <c r="U19" s="74">
        <f t="shared" si="0"/>
        <v>1.6081050245335569</v>
      </c>
    </row>
    <row r="20" spans="1:21">
      <c r="A20" s="8" t="s">
        <v>15</v>
      </c>
      <c r="B20" s="25">
        <v>2193.1999999999998</v>
      </c>
      <c r="C20" s="25">
        <v>2306.8000000000002</v>
      </c>
      <c r="D20" s="25">
        <v>2797.3</v>
      </c>
      <c r="E20" s="47">
        <v>3394.8</v>
      </c>
      <c r="F20" s="25">
        <v>3908</v>
      </c>
      <c r="G20" s="25">
        <v>4779.1000000000004</v>
      </c>
      <c r="H20" s="25">
        <v>5021</v>
      </c>
      <c r="I20" s="9">
        <v>5439.6</v>
      </c>
      <c r="J20" s="9">
        <v>6138.5</v>
      </c>
      <c r="K20" s="9">
        <v>6694.2</v>
      </c>
      <c r="L20" s="9">
        <v>6635.9</v>
      </c>
      <c r="M20" s="25">
        <v>7183.9</v>
      </c>
      <c r="N20" s="9">
        <v>6913</v>
      </c>
      <c r="O20" s="9">
        <v>7495.8</v>
      </c>
      <c r="P20" s="26">
        <v>8985.6</v>
      </c>
      <c r="Q20" s="48">
        <f t="shared" si="1"/>
        <v>5325.7800000000007</v>
      </c>
      <c r="R20" s="22"/>
      <c r="S20" s="74">
        <f t="shared" si="2"/>
        <v>5.3257800000000008</v>
      </c>
      <c r="U20" s="74">
        <f t="shared" si="0"/>
        <v>1.6725591797417458</v>
      </c>
    </row>
    <row r="21" spans="1:21">
      <c r="A21" s="13"/>
      <c r="B21" s="19"/>
      <c r="C21" s="19"/>
      <c r="D21" s="19"/>
      <c r="E21" s="20"/>
      <c r="F21" s="19"/>
      <c r="G21" s="19"/>
      <c r="H21" s="19"/>
      <c r="I21" s="14"/>
      <c r="J21" s="14"/>
      <c r="K21" s="14"/>
      <c r="L21" s="14"/>
      <c r="M21" s="19"/>
      <c r="N21" s="14"/>
      <c r="O21" s="14"/>
      <c r="P21" s="21"/>
      <c r="Q21" s="14"/>
      <c r="R21" s="18"/>
    </row>
    <row r="23" spans="1:21" ht="18">
      <c r="A23" s="73" t="s">
        <v>132</v>
      </c>
      <c r="B23" s="1"/>
      <c r="C23" s="1"/>
      <c r="D23" s="1"/>
      <c r="E23" s="1"/>
      <c r="F23" s="1"/>
      <c r="G23" s="27" t="s">
        <v>17</v>
      </c>
      <c r="H23" s="1"/>
    </row>
    <row r="24" spans="1:21">
      <c r="I24" s="1"/>
      <c r="J24" s="1"/>
      <c r="K24" s="1"/>
      <c r="L24" s="1"/>
      <c r="M24" s="1"/>
      <c r="N24" s="1"/>
      <c r="O24" s="1"/>
      <c r="P24" s="1"/>
      <c r="Q24" s="1"/>
    </row>
    <row r="25" spans="1:21" ht="17">
      <c r="A25" s="4"/>
      <c r="B25" s="28">
        <v>2008</v>
      </c>
      <c r="C25" s="28">
        <v>2009</v>
      </c>
      <c r="D25" s="28">
        <v>2010</v>
      </c>
      <c r="E25" s="28">
        <v>2011</v>
      </c>
      <c r="F25" s="28">
        <v>2012</v>
      </c>
      <c r="G25" s="28">
        <v>2013</v>
      </c>
      <c r="H25" s="28">
        <v>2014</v>
      </c>
      <c r="I25" s="28">
        <v>2015</v>
      </c>
      <c r="J25" s="28">
        <v>2016</v>
      </c>
      <c r="K25" s="28">
        <v>2017</v>
      </c>
      <c r="L25" s="28">
        <v>2018</v>
      </c>
      <c r="M25" s="28">
        <v>2019</v>
      </c>
      <c r="N25" s="28">
        <v>2020</v>
      </c>
      <c r="O25" s="28">
        <v>2021</v>
      </c>
      <c r="P25" s="28">
        <v>2022</v>
      </c>
      <c r="Q25" s="5" t="s">
        <v>56</v>
      </c>
      <c r="R25" s="18"/>
    </row>
    <row r="26" spans="1:21">
      <c r="A26" s="46" t="s">
        <v>0</v>
      </c>
      <c r="B26" s="17">
        <v>196685</v>
      </c>
      <c r="C26" s="17">
        <v>176016</v>
      </c>
      <c r="D26" s="17">
        <v>161964</v>
      </c>
      <c r="E26" s="17">
        <v>160934</v>
      </c>
      <c r="F26" s="17">
        <v>171609</v>
      </c>
      <c r="G26" s="17">
        <v>172810</v>
      </c>
      <c r="H26" s="17">
        <v>177678</v>
      </c>
      <c r="I26" s="17">
        <v>147184</v>
      </c>
      <c r="J26" s="17">
        <v>138004</v>
      </c>
      <c r="K26" s="17">
        <v>127084</v>
      </c>
      <c r="L26" s="49">
        <v>130691</v>
      </c>
      <c r="M26" s="49">
        <v>142435</v>
      </c>
      <c r="N26" s="49">
        <v>153627</v>
      </c>
      <c r="O26" s="49">
        <v>151679</v>
      </c>
      <c r="P26" s="49">
        <v>161974</v>
      </c>
      <c r="Q26" s="16">
        <f>AVERAGE(B26:P26)</f>
        <v>158024.93333333332</v>
      </c>
      <c r="S26" s="66">
        <f>Q26/1000000</f>
        <v>0.15802493333333331</v>
      </c>
      <c r="U26" s="74">
        <f t="shared" ref="U26:U42" si="3">LN(S26)</f>
        <v>-1.8450024524980397</v>
      </c>
    </row>
    <row r="27" spans="1:21">
      <c r="A27" s="8" t="s">
        <v>1</v>
      </c>
      <c r="B27" s="17">
        <v>6125</v>
      </c>
      <c r="C27" s="17">
        <v>6877</v>
      </c>
      <c r="D27" s="17">
        <v>6064</v>
      </c>
      <c r="E27" s="17">
        <v>6006</v>
      </c>
      <c r="F27" s="17">
        <v>6807</v>
      </c>
      <c r="G27" s="17">
        <v>7221</v>
      </c>
      <c r="H27" s="17">
        <v>7197</v>
      </c>
      <c r="I27" s="17">
        <v>3444</v>
      </c>
      <c r="J27" s="17">
        <v>4520</v>
      </c>
      <c r="K27" s="17">
        <v>2857</v>
      </c>
      <c r="L27" s="49">
        <v>3295</v>
      </c>
      <c r="M27" s="49">
        <v>4139</v>
      </c>
      <c r="N27" s="49">
        <v>4553</v>
      </c>
      <c r="O27" s="49">
        <v>4275</v>
      </c>
      <c r="P27" s="49">
        <v>4119</v>
      </c>
      <c r="Q27" s="16">
        <f t="shared" ref="Q27:Q41" si="4">AVERAGE(B27:P27)</f>
        <v>5166.6000000000004</v>
      </c>
      <c r="S27" s="66">
        <f t="shared" ref="S27:S42" si="5">Q27/1000000</f>
        <v>5.1666000000000004E-3</v>
      </c>
      <c r="U27" s="74">
        <f t="shared" si="3"/>
        <v>-5.2655404470340992</v>
      </c>
    </row>
    <row r="28" spans="1:21">
      <c r="A28" s="8" t="s">
        <v>2</v>
      </c>
      <c r="B28" s="17">
        <v>6081</v>
      </c>
      <c r="C28" s="17">
        <v>6086</v>
      </c>
      <c r="D28" s="17">
        <v>5689</v>
      </c>
      <c r="E28" s="17">
        <v>5923</v>
      </c>
      <c r="F28" s="17">
        <v>6741</v>
      </c>
      <c r="G28" s="17">
        <v>7113</v>
      </c>
      <c r="H28" s="17">
        <v>7155</v>
      </c>
      <c r="I28" s="17">
        <v>6356</v>
      </c>
      <c r="J28" s="17">
        <v>5617</v>
      </c>
      <c r="K28" s="17">
        <v>5114</v>
      </c>
      <c r="L28" s="49">
        <v>5373</v>
      </c>
      <c r="M28" s="49">
        <v>5880</v>
      </c>
      <c r="N28" s="49">
        <v>6247</v>
      </c>
      <c r="O28" s="49">
        <v>7379</v>
      </c>
      <c r="P28" s="49">
        <v>6978</v>
      </c>
      <c r="Q28" s="16">
        <f t="shared" si="4"/>
        <v>6248.8</v>
      </c>
      <c r="S28" s="66">
        <f t="shared" si="5"/>
        <v>6.2488000000000005E-3</v>
      </c>
      <c r="U28" s="74">
        <f t="shared" si="3"/>
        <v>-5.0753658336681866</v>
      </c>
    </row>
    <row r="29" spans="1:21">
      <c r="A29" s="8" t="s">
        <v>3</v>
      </c>
      <c r="B29" s="17">
        <v>2787</v>
      </c>
      <c r="C29" s="17">
        <v>2862</v>
      </c>
      <c r="D29" s="17">
        <v>2912</v>
      </c>
      <c r="E29" s="17">
        <v>2464</v>
      </c>
      <c r="F29" s="17">
        <v>2948</v>
      </c>
      <c r="G29" s="17">
        <v>2784</v>
      </c>
      <c r="H29" s="17">
        <v>3079</v>
      </c>
      <c r="I29" s="17">
        <v>2970</v>
      </c>
      <c r="J29" s="17">
        <v>2744</v>
      </c>
      <c r="K29" s="17">
        <v>2668</v>
      </c>
      <c r="L29" s="49">
        <v>2518</v>
      </c>
      <c r="M29" s="49">
        <v>2235</v>
      </c>
      <c r="N29" s="49">
        <v>2638</v>
      </c>
      <c r="O29" s="49">
        <v>2095</v>
      </c>
      <c r="P29" s="49">
        <v>1159</v>
      </c>
      <c r="Q29" s="16">
        <f t="shared" si="4"/>
        <v>2590.8666666666668</v>
      </c>
      <c r="S29" s="66">
        <f t="shared" si="5"/>
        <v>2.5908666666666666E-3</v>
      </c>
      <c r="U29" s="74">
        <f t="shared" si="3"/>
        <v>-5.9557628389089681</v>
      </c>
    </row>
    <row r="30" spans="1:21">
      <c r="A30" s="8" t="s">
        <v>4</v>
      </c>
      <c r="B30" s="17">
        <v>6185</v>
      </c>
      <c r="C30" s="17">
        <v>5310</v>
      </c>
      <c r="D30" s="17">
        <v>4088</v>
      </c>
      <c r="E30" s="17">
        <v>4065</v>
      </c>
      <c r="F30" s="17">
        <v>4327</v>
      </c>
      <c r="G30" s="17">
        <v>3776</v>
      </c>
      <c r="H30" s="17">
        <v>4049</v>
      </c>
      <c r="I30" s="17">
        <v>2874</v>
      </c>
      <c r="J30" s="17">
        <v>2980</v>
      </c>
      <c r="K30" s="17">
        <v>2950</v>
      </c>
      <c r="L30" s="49">
        <v>2761</v>
      </c>
      <c r="M30" s="49">
        <v>3539</v>
      </c>
      <c r="N30" s="49">
        <v>3390</v>
      </c>
      <c r="O30" s="49">
        <v>3483</v>
      </c>
      <c r="P30" s="49">
        <v>3415</v>
      </c>
      <c r="Q30" s="16">
        <f t="shared" si="4"/>
        <v>3812.8</v>
      </c>
      <c r="S30" s="66">
        <f t="shared" si="5"/>
        <v>3.8128000000000003E-3</v>
      </c>
      <c r="U30" s="74">
        <f t="shared" si="3"/>
        <v>-5.5693914516197962</v>
      </c>
    </row>
    <row r="31" spans="1:21">
      <c r="A31" s="8" t="s">
        <v>5</v>
      </c>
      <c r="B31" s="17">
        <v>8032</v>
      </c>
      <c r="C31" s="17">
        <v>7293</v>
      </c>
      <c r="D31" s="17">
        <v>7160</v>
      </c>
      <c r="E31" s="17">
        <v>7220</v>
      </c>
      <c r="F31" s="17">
        <v>8001</v>
      </c>
      <c r="G31" s="17">
        <v>8622</v>
      </c>
      <c r="H31" s="17">
        <v>10008</v>
      </c>
      <c r="I31" s="17">
        <v>8774</v>
      </c>
      <c r="J31" s="17">
        <v>7254</v>
      </c>
      <c r="K31" s="17">
        <v>8286</v>
      </c>
      <c r="L31" s="49">
        <v>9311</v>
      </c>
      <c r="M31" s="49">
        <v>9805</v>
      </c>
      <c r="N31" s="49">
        <v>9709</v>
      </c>
      <c r="O31" s="49">
        <v>8481</v>
      </c>
      <c r="P31" s="49">
        <v>8731</v>
      </c>
      <c r="Q31" s="16">
        <f t="shared" si="4"/>
        <v>8445.7999999999993</v>
      </c>
      <c r="S31" s="66">
        <f t="shared" si="5"/>
        <v>8.4457999999999998E-3</v>
      </c>
      <c r="U31" s="74">
        <f t="shared" si="3"/>
        <v>-4.7740860025992067</v>
      </c>
    </row>
    <row r="32" spans="1:21">
      <c r="A32" s="8" t="s">
        <v>6</v>
      </c>
      <c r="B32" s="17">
        <v>8744</v>
      </c>
      <c r="C32" s="17">
        <v>8377</v>
      </c>
      <c r="D32" s="17">
        <v>7261</v>
      </c>
      <c r="E32" s="17">
        <v>7190</v>
      </c>
      <c r="F32" s="17">
        <v>9043</v>
      </c>
      <c r="G32" s="17">
        <v>10810</v>
      </c>
      <c r="H32" s="17">
        <v>11451</v>
      </c>
      <c r="I32" s="17">
        <v>7634</v>
      </c>
      <c r="J32" s="17">
        <v>6372</v>
      </c>
      <c r="K32" s="17">
        <v>5394</v>
      </c>
      <c r="L32" s="49">
        <v>6255</v>
      </c>
      <c r="M32" s="49">
        <v>6458</v>
      </c>
      <c r="N32" s="49">
        <v>7910</v>
      </c>
      <c r="O32" s="49">
        <v>9788</v>
      </c>
      <c r="P32" s="49">
        <v>8807</v>
      </c>
      <c r="Q32" s="16">
        <f t="shared" si="4"/>
        <v>8099.6</v>
      </c>
      <c r="S32" s="66">
        <f t="shared" si="5"/>
        <v>8.0996000000000002E-3</v>
      </c>
      <c r="U32" s="74">
        <f t="shared" si="3"/>
        <v>-4.8159406012391601</v>
      </c>
    </row>
    <row r="33" spans="1:21">
      <c r="A33" s="8" t="s">
        <v>7</v>
      </c>
      <c r="B33" s="17">
        <v>18729</v>
      </c>
      <c r="C33" s="17">
        <v>15537</v>
      </c>
      <c r="D33" s="17">
        <v>14835</v>
      </c>
      <c r="E33" s="17">
        <v>15337</v>
      </c>
      <c r="F33" s="17">
        <v>17308</v>
      </c>
      <c r="G33" s="17">
        <v>16364</v>
      </c>
      <c r="H33" s="17">
        <v>16623</v>
      </c>
      <c r="I33" s="17">
        <v>12001</v>
      </c>
      <c r="J33" s="17">
        <v>10928</v>
      </c>
      <c r="K33" s="17">
        <v>10166</v>
      </c>
      <c r="L33" s="49">
        <v>10215</v>
      </c>
      <c r="M33" s="49">
        <v>12552</v>
      </c>
      <c r="N33" s="49">
        <v>12398</v>
      </c>
      <c r="O33" s="49">
        <v>12440</v>
      </c>
      <c r="P33" s="49">
        <v>12081</v>
      </c>
      <c r="Q33" s="16">
        <f t="shared" si="4"/>
        <v>13834.266666666666</v>
      </c>
      <c r="S33" s="66">
        <f t="shared" si="5"/>
        <v>1.3834266666666666E-2</v>
      </c>
      <c r="U33" s="74">
        <f t="shared" si="3"/>
        <v>-4.280606672810066</v>
      </c>
    </row>
    <row r="34" spans="1:21">
      <c r="A34" s="8" t="s">
        <v>8</v>
      </c>
      <c r="B34" s="17">
        <v>11127</v>
      </c>
      <c r="C34" s="17">
        <v>8462</v>
      </c>
      <c r="D34" s="17">
        <v>7001</v>
      </c>
      <c r="E34" s="17">
        <v>7300</v>
      </c>
      <c r="F34" s="17">
        <v>7382</v>
      </c>
      <c r="G34" s="17">
        <v>6844</v>
      </c>
      <c r="H34" s="17">
        <v>7087</v>
      </c>
      <c r="I34" s="17">
        <v>5378</v>
      </c>
      <c r="J34" s="17">
        <v>5153</v>
      </c>
      <c r="K34" s="17">
        <v>4647</v>
      </c>
      <c r="L34" s="49">
        <v>4764</v>
      </c>
      <c r="M34" s="49">
        <v>5526</v>
      </c>
      <c r="N34" s="49">
        <v>5493</v>
      </c>
      <c r="O34" s="49">
        <v>5483</v>
      </c>
      <c r="P34" s="49">
        <v>5151</v>
      </c>
      <c r="Q34" s="16">
        <f t="shared" si="4"/>
        <v>6453.2</v>
      </c>
      <c r="S34" s="66">
        <f t="shared" si="5"/>
        <v>6.4532000000000001E-3</v>
      </c>
      <c r="U34" s="74">
        <f t="shared" si="3"/>
        <v>-5.0431791471722853</v>
      </c>
    </row>
    <row r="35" spans="1:21">
      <c r="A35" s="8" t="s">
        <v>9</v>
      </c>
      <c r="B35" s="17">
        <v>4841</v>
      </c>
      <c r="C35" s="17">
        <v>4534</v>
      </c>
      <c r="D35" s="17">
        <v>4099</v>
      </c>
      <c r="E35" s="17">
        <v>4359</v>
      </c>
      <c r="F35" s="17">
        <v>4825</v>
      </c>
      <c r="G35" s="17">
        <v>5347</v>
      </c>
      <c r="H35" s="17">
        <v>5745</v>
      </c>
      <c r="I35" s="17">
        <v>3733</v>
      </c>
      <c r="J35" s="17">
        <v>3301</v>
      </c>
      <c r="K35" s="17">
        <v>3087</v>
      </c>
      <c r="L35" s="49">
        <v>3309</v>
      </c>
      <c r="M35" s="49">
        <v>3058</v>
      </c>
      <c r="N35" s="49">
        <v>3883</v>
      </c>
      <c r="O35" s="49">
        <v>3455</v>
      </c>
      <c r="P35" s="49">
        <v>3477</v>
      </c>
      <c r="Q35" s="16">
        <f t="shared" si="4"/>
        <v>4070.2</v>
      </c>
      <c r="S35" s="66">
        <f t="shared" si="5"/>
        <v>4.0701999999999995E-3</v>
      </c>
      <c r="U35" s="74">
        <f t="shared" si="3"/>
        <v>-5.504063140685826</v>
      </c>
    </row>
    <row r="36" spans="1:21">
      <c r="A36" s="8" t="s">
        <v>10</v>
      </c>
      <c r="B36" s="17">
        <v>3286</v>
      </c>
      <c r="C36" s="17">
        <v>3111</v>
      </c>
      <c r="D36" s="17">
        <v>1853</v>
      </c>
      <c r="E36" s="17">
        <v>1800</v>
      </c>
      <c r="F36" s="17">
        <v>2493</v>
      </c>
      <c r="G36" s="17">
        <v>2371</v>
      </c>
      <c r="H36" s="17">
        <v>2027</v>
      </c>
      <c r="I36" s="17">
        <v>1417</v>
      </c>
      <c r="J36" s="17">
        <v>1481</v>
      </c>
      <c r="K36" s="17">
        <v>975</v>
      </c>
      <c r="L36" s="49">
        <v>841</v>
      </c>
      <c r="M36" s="49">
        <v>901</v>
      </c>
      <c r="N36" s="49">
        <v>1337</v>
      </c>
      <c r="O36" s="49">
        <v>1248</v>
      </c>
      <c r="P36" s="49">
        <v>1537</v>
      </c>
      <c r="Q36" s="16">
        <f t="shared" si="4"/>
        <v>1778.5333333333333</v>
      </c>
      <c r="S36" s="66">
        <f t="shared" si="5"/>
        <v>1.7785333333333333E-3</v>
      </c>
      <c r="U36" s="74">
        <f t="shared" si="3"/>
        <v>-6.3319662243654946</v>
      </c>
    </row>
    <row r="37" spans="1:21">
      <c r="A37" s="8" t="s">
        <v>68</v>
      </c>
      <c r="B37" s="17">
        <v>3864</v>
      </c>
      <c r="C37" s="17">
        <v>3446</v>
      </c>
      <c r="D37" s="17">
        <v>3874</v>
      </c>
      <c r="E37" s="17">
        <v>5717</v>
      </c>
      <c r="F37" s="17">
        <v>4659</v>
      </c>
      <c r="G37" s="17">
        <v>3493</v>
      </c>
      <c r="H37" s="17">
        <v>2916</v>
      </c>
      <c r="I37" s="17">
        <v>2539</v>
      </c>
      <c r="J37" s="17">
        <v>2459</v>
      </c>
      <c r="K37" s="17">
        <v>1695</v>
      </c>
      <c r="L37" s="49">
        <v>1705</v>
      </c>
      <c r="M37" s="49">
        <v>1915</v>
      </c>
      <c r="N37" s="49">
        <v>2273</v>
      </c>
      <c r="O37" s="49">
        <v>2477</v>
      </c>
      <c r="P37" s="49">
        <v>2555</v>
      </c>
      <c r="Q37" s="16">
        <f t="shared" si="4"/>
        <v>3039.1333333333332</v>
      </c>
      <c r="S37" s="66">
        <f t="shared" si="5"/>
        <v>3.039133333333333E-3</v>
      </c>
      <c r="U37" s="74">
        <f t="shared" si="3"/>
        <v>-5.7961828919285336</v>
      </c>
    </row>
    <row r="38" spans="1:21">
      <c r="A38" s="8" t="s">
        <v>11</v>
      </c>
      <c r="B38" s="17">
        <v>6467</v>
      </c>
      <c r="C38" s="17">
        <v>6192</v>
      </c>
      <c r="D38" s="17">
        <v>6158</v>
      </c>
      <c r="E38" s="17">
        <v>5366</v>
      </c>
      <c r="F38" s="17">
        <v>5764</v>
      </c>
      <c r="G38" s="17">
        <v>6083</v>
      </c>
      <c r="H38" s="17">
        <v>4890</v>
      </c>
      <c r="I38" s="17">
        <v>4249</v>
      </c>
      <c r="J38" s="17">
        <v>4078</v>
      </c>
      <c r="K38" s="17">
        <v>3522</v>
      </c>
      <c r="L38" s="49">
        <v>3645</v>
      </c>
      <c r="M38" s="49">
        <v>4426</v>
      </c>
      <c r="N38" s="49">
        <v>4329</v>
      </c>
      <c r="O38" s="49">
        <v>4733</v>
      </c>
      <c r="P38" s="49">
        <v>5509</v>
      </c>
      <c r="Q38" s="16">
        <f t="shared" si="4"/>
        <v>5027.3999999999996</v>
      </c>
      <c r="S38" s="66">
        <f t="shared" si="5"/>
        <v>5.0273999999999996E-3</v>
      </c>
      <c r="U38" s="74">
        <f t="shared" si="3"/>
        <v>-5.2928523271169787</v>
      </c>
    </row>
    <row r="39" spans="1:21">
      <c r="A39" s="8" t="s">
        <v>12</v>
      </c>
      <c r="B39" s="17">
        <v>4101</v>
      </c>
      <c r="C39" s="17">
        <v>3365</v>
      </c>
      <c r="D39" s="17">
        <v>2641</v>
      </c>
      <c r="E39" s="17">
        <v>2461</v>
      </c>
      <c r="F39" s="17">
        <v>2190</v>
      </c>
      <c r="G39" s="17">
        <v>2223</v>
      </c>
      <c r="H39" s="17">
        <v>2019</v>
      </c>
      <c r="I39" s="17">
        <v>1603</v>
      </c>
      <c r="J39" s="17">
        <v>1166</v>
      </c>
      <c r="K39" s="17">
        <v>1099</v>
      </c>
      <c r="L39" s="49">
        <v>1404</v>
      </c>
      <c r="M39" s="49">
        <v>1896</v>
      </c>
      <c r="N39" s="49">
        <v>1745</v>
      </c>
      <c r="O39" s="49">
        <v>1858</v>
      </c>
      <c r="P39" s="49">
        <v>2003</v>
      </c>
      <c r="Q39" s="16">
        <f t="shared" si="4"/>
        <v>2118.2666666666669</v>
      </c>
      <c r="S39" s="66">
        <f t="shared" si="5"/>
        <v>2.1182666666666669E-3</v>
      </c>
      <c r="U39" s="74">
        <f t="shared" si="3"/>
        <v>-6.1571571347865151</v>
      </c>
    </row>
    <row r="40" spans="1:21">
      <c r="A40" s="8" t="s">
        <v>13</v>
      </c>
      <c r="B40" s="17">
        <v>13013</v>
      </c>
      <c r="C40" s="17">
        <v>12163</v>
      </c>
      <c r="D40" s="17">
        <v>12225</v>
      </c>
      <c r="E40" s="17">
        <v>12503</v>
      </c>
      <c r="F40" s="17">
        <v>13240</v>
      </c>
      <c r="G40" s="17">
        <v>13156</v>
      </c>
      <c r="H40" s="17">
        <v>12426</v>
      </c>
      <c r="I40" s="17">
        <v>8002</v>
      </c>
      <c r="J40" s="17">
        <v>7480</v>
      </c>
      <c r="K40" s="17">
        <v>7165</v>
      </c>
      <c r="L40" s="49">
        <v>7225</v>
      </c>
      <c r="M40" s="49">
        <v>8248</v>
      </c>
      <c r="N40" s="49">
        <v>8556</v>
      </c>
      <c r="O40" s="49">
        <v>9640</v>
      </c>
      <c r="P40" s="49">
        <v>4073</v>
      </c>
      <c r="Q40" s="16">
        <f t="shared" si="4"/>
        <v>9941</v>
      </c>
      <c r="S40" s="66">
        <f t="shared" si="5"/>
        <v>9.9410000000000002E-3</v>
      </c>
      <c r="U40" s="74">
        <f t="shared" si="3"/>
        <v>-4.6110876597521289</v>
      </c>
    </row>
    <row r="41" spans="1:21">
      <c r="A41" s="8" t="s">
        <v>14</v>
      </c>
      <c r="B41" s="17">
        <v>12712</v>
      </c>
      <c r="C41" s="17">
        <v>10255</v>
      </c>
      <c r="D41" s="17">
        <v>9578</v>
      </c>
      <c r="E41" s="17">
        <v>9679</v>
      </c>
      <c r="F41" s="17">
        <v>9983</v>
      </c>
      <c r="G41" s="17">
        <v>9977</v>
      </c>
      <c r="H41" s="17">
        <v>11366</v>
      </c>
      <c r="I41" s="17">
        <v>13625</v>
      </c>
      <c r="J41" s="17">
        <v>12220</v>
      </c>
      <c r="K41" s="17">
        <v>12793</v>
      </c>
      <c r="L41" s="49">
        <v>11978</v>
      </c>
      <c r="M41" s="49">
        <v>11904</v>
      </c>
      <c r="N41" s="49">
        <v>12024</v>
      </c>
      <c r="O41" s="49">
        <v>12232</v>
      </c>
      <c r="P41" s="49">
        <v>14341</v>
      </c>
      <c r="Q41" s="16">
        <f t="shared" si="4"/>
        <v>11644.466666666667</v>
      </c>
      <c r="S41" s="66">
        <f t="shared" si="5"/>
        <v>1.1644466666666667E-2</v>
      </c>
      <c r="U41" s="74">
        <f t="shared" si="3"/>
        <v>-4.452924176036289</v>
      </c>
    </row>
    <row r="42" spans="1:21">
      <c r="A42" s="8" t="s">
        <v>15</v>
      </c>
      <c r="B42" s="17">
        <v>60179</v>
      </c>
      <c r="C42" s="17">
        <v>55281</v>
      </c>
      <c r="D42" s="17">
        <v>49949</v>
      </c>
      <c r="E42" s="17">
        <v>48306</v>
      </c>
      <c r="F42" s="17">
        <v>48971</v>
      </c>
      <c r="G42" s="17">
        <v>46763</v>
      </c>
      <c r="H42" s="17">
        <v>47370</v>
      </c>
      <c r="I42" s="17">
        <v>39368</v>
      </c>
      <c r="J42" s="17">
        <v>32197</v>
      </c>
      <c r="K42" s="17">
        <v>31364</v>
      </c>
      <c r="L42" s="49">
        <v>31052</v>
      </c>
      <c r="M42" s="49">
        <v>30886</v>
      </c>
      <c r="N42" s="49">
        <v>35017</v>
      </c>
      <c r="O42" s="49">
        <v>35058</v>
      </c>
      <c r="P42" s="49">
        <v>38435</v>
      </c>
      <c r="Q42" s="16">
        <f>AVERAGE(B42:P42)</f>
        <v>42013.066666666666</v>
      </c>
      <c r="S42" s="66">
        <f t="shared" si="5"/>
        <v>4.2013066666666668E-2</v>
      </c>
      <c r="U42" s="74">
        <f t="shared" si="3"/>
        <v>-3.1697745979726841</v>
      </c>
    </row>
    <row r="45" spans="1:21" ht="16" customHeight="1">
      <c r="A45" s="1" t="s">
        <v>60</v>
      </c>
      <c r="B45" s="1"/>
      <c r="C45" s="1"/>
      <c r="D45" s="1"/>
      <c r="E45" s="40" t="s">
        <v>18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21">
      <c r="A47" s="15"/>
      <c r="B47" s="15">
        <v>2008</v>
      </c>
      <c r="C47" s="15">
        <v>2009</v>
      </c>
      <c r="D47" s="15">
        <v>2010</v>
      </c>
      <c r="E47" s="15">
        <v>2011</v>
      </c>
      <c r="F47" s="15">
        <v>2012</v>
      </c>
      <c r="G47" s="15">
        <v>2013</v>
      </c>
      <c r="H47" s="15">
        <v>2014</v>
      </c>
      <c r="I47" s="15">
        <v>2015</v>
      </c>
      <c r="J47" s="15">
        <v>2016</v>
      </c>
      <c r="K47" s="15">
        <v>2017</v>
      </c>
      <c r="L47" s="15">
        <v>2018</v>
      </c>
      <c r="M47" s="15">
        <v>2019</v>
      </c>
      <c r="N47" s="15">
        <v>2020</v>
      </c>
      <c r="O47" s="15">
        <v>2021</v>
      </c>
      <c r="P47" s="15">
        <v>2022</v>
      </c>
      <c r="Q47" s="15"/>
      <c r="R47" s="1"/>
      <c r="S47" s="1"/>
    </row>
    <row r="48" spans="1:21">
      <c r="A48" s="46" t="s">
        <v>0</v>
      </c>
      <c r="B48" s="29">
        <v>6.6291164525243671</v>
      </c>
      <c r="C48" s="29">
        <v>6.6</v>
      </c>
      <c r="D48" s="30">
        <v>5.8</v>
      </c>
      <c r="E48" s="30">
        <v>5.4</v>
      </c>
      <c r="F48" s="31">
        <v>5.3</v>
      </c>
      <c r="G48" s="31">
        <v>5.2</v>
      </c>
      <c r="H48" s="31">
        <v>5</v>
      </c>
      <c r="I48" s="32">
        <v>5.0999999999999996</v>
      </c>
      <c r="J48" s="31">
        <v>5</v>
      </c>
      <c r="K48" s="32">
        <v>4.9000000000000004</v>
      </c>
      <c r="L48" s="31">
        <v>4.9000000000000004</v>
      </c>
      <c r="M48" s="7">
        <v>4.8</v>
      </c>
      <c r="N48" s="7">
        <v>4.9000000000000004</v>
      </c>
      <c r="O48" s="7">
        <v>4.9000000000000004</v>
      </c>
      <c r="P48" s="7">
        <v>4.9000000000000004</v>
      </c>
      <c r="Q48" s="50">
        <f>AVERAGE(B48:P48)</f>
        <v>5.2886077635016262</v>
      </c>
      <c r="R48" s="41"/>
      <c r="U48" s="74">
        <f t="shared" ref="U48:U64" si="6">LN(Q48)</f>
        <v>1.6655550285286567</v>
      </c>
    </row>
    <row r="49" spans="1:21">
      <c r="A49" s="8" t="s">
        <v>1</v>
      </c>
      <c r="B49" s="29">
        <v>7.1231391670878716</v>
      </c>
      <c r="C49" s="29">
        <v>6.9</v>
      </c>
      <c r="D49" s="30">
        <v>5.8</v>
      </c>
      <c r="E49" s="30">
        <v>5.5</v>
      </c>
      <c r="F49" s="31">
        <v>5.3</v>
      </c>
      <c r="G49" s="31">
        <v>5.2</v>
      </c>
      <c r="H49" s="31">
        <v>4.9000000000000004</v>
      </c>
      <c r="I49" s="32">
        <v>5.0999999999999996</v>
      </c>
      <c r="J49" s="31">
        <v>4.9000000000000004</v>
      </c>
      <c r="K49" s="32">
        <v>4.8</v>
      </c>
      <c r="L49" s="33">
        <v>4.8</v>
      </c>
      <c r="M49" s="7">
        <v>4.7</v>
      </c>
      <c r="N49" s="7">
        <v>4.9000000000000004</v>
      </c>
      <c r="O49" s="7">
        <v>4.9000000000000004</v>
      </c>
      <c r="P49" s="7">
        <v>4.8</v>
      </c>
      <c r="Q49" s="50">
        <f t="shared" ref="Q49:Q64" si="7">AVERAGE(B49:P49)</f>
        <v>5.3082092778058581</v>
      </c>
      <c r="R49" s="41"/>
      <c r="U49" s="74">
        <f t="shared" si="6"/>
        <v>1.6692545425589556</v>
      </c>
    </row>
    <row r="50" spans="1:21">
      <c r="A50" s="8" t="s">
        <v>2</v>
      </c>
      <c r="B50" s="29">
        <v>6.3763272375428244</v>
      </c>
      <c r="C50" s="29">
        <v>6</v>
      </c>
      <c r="D50" s="30">
        <v>5.3</v>
      </c>
      <c r="E50" s="30">
        <v>4.9000000000000004</v>
      </c>
      <c r="F50" s="31">
        <v>5</v>
      </c>
      <c r="G50" s="31">
        <v>4.9000000000000004</v>
      </c>
      <c r="H50" s="31">
        <v>4.9000000000000004</v>
      </c>
      <c r="I50" s="32">
        <v>5.0999999999999996</v>
      </c>
      <c r="J50" s="31">
        <v>4.8</v>
      </c>
      <c r="K50" s="32">
        <v>4.8</v>
      </c>
      <c r="L50" s="33">
        <v>4.8</v>
      </c>
      <c r="M50" s="7">
        <v>4.8</v>
      </c>
      <c r="N50" s="7">
        <v>4.8</v>
      </c>
      <c r="O50" s="7">
        <v>4.8</v>
      </c>
      <c r="P50" s="7">
        <v>4.8</v>
      </c>
      <c r="Q50" s="50">
        <f t="shared" si="7"/>
        <v>5.0717551491695207</v>
      </c>
      <c r="R50" s="41"/>
      <c r="U50" s="74">
        <f t="shared" si="6"/>
        <v>1.6236869409636399</v>
      </c>
    </row>
    <row r="51" spans="1:21">
      <c r="A51" s="8" t="s">
        <v>3</v>
      </c>
      <c r="B51" s="29">
        <v>6.408518469091752</v>
      </c>
      <c r="C51" s="29">
        <v>6.5</v>
      </c>
      <c r="D51" s="30">
        <v>5.6</v>
      </c>
      <c r="E51" s="30">
        <v>5.0999999999999996</v>
      </c>
      <c r="F51" s="31">
        <v>5</v>
      </c>
      <c r="G51" s="31">
        <v>4.9000000000000004</v>
      </c>
      <c r="H51" s="31">
        <v>4.9000000000000004</v>
      </c>
      <c r="I51" s="32">
        <v>5</v>
      </c>
      <c r="J51" s="31">
        <v>4.8</v>
      </c>
      <c r="K51" s="32">
        <v>4.7</v>
      </c>
      <c r="L51" s="33">
        <v>4.7</v>
      </c>
      <c r="M51" s="7">
        <v>4.5999999999999996</v>
      </c>
      <c r="N51" s="7">
        <v>4.8</v>
      </c>
      <c r="O51" s="7">
        <v>4.8</v>
      </c>
      <c r="P51" s="7">
        <v>4.7</v>
      </c>
      <c r="Q51" s="50">
        <f t="shared" si="7"/>
        <v>5.1005678979394506</v>
      </c>
      <c r="R51" s="41"/>
      <c r="U51" s="74">
        <f t="shared" si="6"/>
        <v>1.6293518860681937</v>
      </c>
    </row>
    <row r="52" spans="1:21">
      <c r="A52" s="8" t="s">
        <v>4</v>
      </c>
      <c r="B52" s="29">
        <v>6.3090501028818595</v>
      </c>
      <c r="C52" s="29">
        <v>6.1</v>
      </c>
      <c r="D52" s="30">
        <v>5.4</v>
      </c>
      <c r="E52" s="30">
        <v>5</v>
      </c>
      <c r="F52" s="31">
        <v>5</v>
      </c>
      <c r="G52" s="31">
        <v>5</v>
      </c>
      <c r="H52" s="31">
        <v>5</v>
      </c>
      <c r="I52" s="32">
        <v>5</v>
      </c>
      <c r="J52" s="31">
        <v>4.9000000000000004</v>
      </c>
      <c r="K52" s="32">
        <v>4.9000000000000004</v>
      </c>
      <c r="L52" s="33">
        <v>4.9000000000000004</v>
      </c>
      <c r="M52" s="7">
        <v>4.8</v>
      </c>
      <c r="N52" s="7">
        <v>4.9000000000000004</v>
      </c>
      <c r="O52" s="7">
        <v>4.9000000000000004</v>
      </c>
      <c r="P52" s="7">
        <v>4.8</v>
      </c>
      <c r="Q52" s="50">
        <f t="shared" si="7"/>
        <v>5.1272700068587911</v>
      </c>
      <c r="R52" s="41"/>
      <c r="U52" s="74">
        <f t="shared" si="6"/>
        <v>1.6345733551283157</v>
      </c>
    </row>
    <row r="53" spans="1:21">
      <c r="A53" s="8" t="s">
        <v>5</v>
      </c>
      <c r="B53" s="29">
        <v>7.0911905177761581</v>
      </c>
      <c r="C53" s="29">
        <v>6.3</v>
      </c>
      <c r="D53" s="30">
        <v>5.6</v>
      </c>
      <c r="E53" s="30">
        <v>5.3</v>
      </c>
      <c r="F53" s="31">
        <v>5.0999999999999996</v>
      </c>
      <c r="G53" s="31">
        <v>5.0999999999999996</v>
      </c>
      <c r="H53" s="31">
        <v>5</v>
      </c>
      <c r="I53" s="32">
        <v>5.0999999999999996</v>
      </c>
      <c r="J53" s="31">
        <v>4.9000000000000004</v>
      </c>
      <c r="K53" s="32">
        <v>4.9000000000000004</v>
      </c>
      <c r="L53" s="34">
        <v>4.9000000000000004</v>
      </c>
      <c r="M53" s="7">
        <v>4.8</v>
      </c>
      <c r="N53" s="7">
        <v>5</v>
      </c>
      <c r="O53" s="7">
        <v>4.9000000000000004</v>
      </c>
      <c r="P53" s="7">
        <v>5</v>
      </c>
      <c r="Q53" s="50">
        <f t="shared" si="7"/>
        <v>5.2660793678517441</v>
      </c>
      <c r="R53" s="41"/>
      <c r="U53" s="74">
        <f t="shared" si="6"/>
        <v>1.6612861327136246</v>
      </c>
    </row>
    <row r="54" spans="1:21">
      <c r="A54" s="8" t="s">
        <v>6</v>
      </c>
      <c r="B54" s="29">
        <v>6.5160308466607768</v>
      </c>
      <c r="C54" s="29">
        <v>6.5</v>
      </c>
      <c r="D54" s="30">
        <v>5.7</v>
      </c>
      <c r="E54" s="30">
        <v>5.5</v>
      </c>
      <c r="F54" s="31">
        <v>5.4</v>
      </c>
      <c r="G54" s="31">
        <v>5.2</v>
      </c>
      <c r="H54" s="31">
        <v>4.9000000000000004</v>
      </c>
      <c r="I54" s="32">
        <v>5.0999999999999996</v>
      </c>
      <c r="J54" s="31">
        <v>4.9000000000000004</v>
      </c>
      <c r="K54" s="32">
        <v>4.9000000000000004</v>
      </c>
      <c r="L54" s="33">
        <v>4.9000000000000004</v>
      </c>
      <c r="M54" s="7">
        <v>4.8</v>
      </c>
      <c r="N54" s="7">
        <v>4.9000000000000004</v>
      </c>
      <c r="O54" s="7">
        <v>4.9000000000000004</v>
      </c>
      <c r="P54" s="7">
        <v>5</v>
      </c>
      <c r="Q54" s="50">
        <f t="shared" si="7"/>
        <v>5.2744020564440524</v>
      </c>
      <c r="R54" s="41"/>
      <c r="U54" s="74">
        <f t="shared" si="6"/>
        <v>1.6628653187084383</v>
      </c>
    </row>
    <row r="55" spans="1:21">
      <c r="A55" s="8" t="s">
        <v>7</v>
      </c>
      <c r="B55" s="29">
        <v>6.2161727020246067</v>
      </c>
      <c r="C55" s="29">
        <v>6.1</v>
      </c>
      <c r="D55" s="30">
        <v>5.5</v>
      </c>
      <c r="E55" s="30">
        <v>5.3</v>
      </c>
      <c r="F55" s="31">
        <v>5.0999999999999996</v>
      </c>
      <c r="G55" s="31">
        <v>5</v>
      </c>
      <c r="H55" s="31">
        <v>4.9000000000000004</v>
      </c>
      <c r="I55" s="32">
        <v>5.3</v>
      </c>
      <c r="J55" s="31">
        <v>5</v>
      </c>
      <c r="K55" s="32">
        <v>4.8</v>
      </c>
      <c r="L55" s="33">
        <v>4.5999999999999996</v>
      </c>
      <c r="M55" s="7">
        <v>4.4000000000000004</v>
      </c>
      <c r="N55" s="7">
        <v>4.5999999999999996</v>
      </c>
      <c r="O55" s="7">
        <v>4.5</v>
      </c>
      <c r="P55" s="7">
        <v>4.4000000000000004</v>
      </c>
      <c r="Q55" s="50">
        <f t="shared" si="7"/>
        <v>5.0477448468016402</v>
      </c>
      <c r="R55" s="41"/>
      <c r="U55" s="74">
        <f t="shared" si="6"/>
        <v>1.6189415785576546</v>
      </c>
    </row>
    <row r="56" spans="1:21">
      <c r="A56" s="8" t="s">
        <v>8</v>
      </c>
      <c r="B56" s="29">
        <v>6.8668886688866895</v>
      </c>
      <c r="C56" s="29">
        <v>6.3</v>
      </c>
      <c r="D56" s="30">
        <v>5.7</v>
      </c>
      <c r="E56" s="30">
        <v>5.4</v>
      </c>
      <c r="F56" s="31">
        <v>5.2</v>
      </c>
      <c r="G56" s="31">
        <v>5.2</v>
      </c>
      <c r="H56" s="31">
        <v>5</v>
      </c>
      <c r="I56" s="32">
        <v>5.0999999999999996</v>
      </c>
      <c r="J56" s="31">
        <v>4.9000000000000004</v>
      </c>
      <c r="K56" s="32">
        <v>4.8</v>
      </c>
      <c r="L56" s="33">
        <v>4.8</v>
      </c>
      <c r="M56" s="7">
        <v>4.7</v>
      </c>
      <c r="N56" s="7">
        <v>4.9000000000000004</v>
      </c>
      <c r="O56" s="7">
        <v>4.8</v>
      </c>
      <c r="P56" s="7">
        <v>4.9000000000000004</v>
      </c>
      <c r="Q56" s="50">
        <f t="shared" si="7"/>
        <v>5.237792577925779</v>
      </c>
      <c r="R56" s="41"/>
      <c r="U56" s="74">
        <f t="shared" si="6"/>
        <v>1.6559001458218254</v>
      </c>
    </row>
    <row r="57" spans="1:21">
      <c r="A57" s="8" t="s">
        <v>9</v>
      </c>
      <c r="B57" s="29">
        <v>6.939578178004294</v>
      </c>
      <c r="C57" s="29">
        <v>6.6</v>
      </c>
      <c r="D57" s="30">
        <v>5.9</v>
      </c>
      <c r="E57" s="30">
        <v>5.5</v>
      </c>
      <c r="F57" s="31">
        <v>5.3</v>
      </c>
      <c r="G57" s="31">
        <v>5.2</v>
      </c>
      <c r="H57" s="31">
        <v>5</v>
      </c>
      <c r="I57" s="32">
        <v>5.0999999999999996</v>
      </c>
      <c r="J57" s="31">
        <v>4.9000000000000004</v>
      </c>
      <c r="K57" s="32">
        <v>4.8</v>
      </c>
      <c r="L57" s="33">
        <v>4.8</v>
      </c>
      <c r="M57" s="7">
        <v>4.8</v>
      </c>
      <c r="N57" s="7">
        <v>4.9000000000000004</v>
      </c>
      <c r="O57" s="7">
        <v>4.9000000000000004</v>
      </c>
      <c r="P57" s="7">
        <v>4.9000000000000004</v>
      </c>
      <c r="Q57" s="50">
        <f t="shared" si="7"/>
        <v>5.3026385452002867</v>
      </c>
      <c r="R57" s="41"/>
      <c r="U57" s="74">
        <f t="shared" si="6"/>
        <v>1.6682045353945305</v>
      </c>
    </row>
    <row r="58" spans="1:21">
      <c r="A58" s="8" t="s">
        <v>10</v>
      </c>
      <c r="B58" s="29">
        <v>6.8529541500840079</v>
      </c>
      <c r="C58" s="29">
        <v>7.1</v>
      </c>
      <c r="D58" s="30">
        <v>6.4</v>
      </c>
      <c r="E58" s="30">
        <v>5.8</v>
      </c>
      <c r="F58" s="31">
        <v>5.7</v>
      </c>
      <c r="G58" s="31">
        <v>5.5</v>
      </c>
      <c r="H58" s="31">
        <v>5</v>
      </c>
      <c r="I58" s="32">
        <v>5.0999999999999996</v>
      </c>
      <c r="J58" s="31">
        <v>5</v>
      </c>
      <c r="K58" s="32">
        <v>4.9000000000000004</v>
      </c>
      <c r="L58" s="33">
        <v>4.8</v>
      </c>
      <c r="M58" s="7">
        <v>4.8</v>
      </c>
      <c r="N58" s="7">
        <v>4.9000000000000004</v>
      </c>
      <c r="O58" s="7">
        <v>4.9000000000000004</v>
      </c>
      <c r="P58" s="7">
        <v>5.0999999999999996</v>
      </c>
      <c r="Q58" s="50">
        <f t="shared" si="7"/>
        <v>5.4568636100056009</v>
      </c>
      <c r="R58" s="41"/>
      <c r="U58" s="74">
        <f t="shared" si="6"/>
        <v>1.6968741943065568</v>
      </c>
    </row>
    <row r="59" spans="1:21">
      <c r="A59" s="8" t="s">
        <v>68</v>
      </c>
      <c r="B59" s="29">
        <v>6.6168970544983514</v>
      </c>
      <c r="C59" s="29">
        <v>6.6</v>
      </c>
      <c r="D59" s="30">
        <v>5.4</v>
      </c>
      <c r="E59" s="30">
        <v>5.4</v>
      </c>
      <c r="F59" s="31">
        <v>5.3</v>
      </c>
      <c r="G59" s="31">
        <v>5.4</v>
      </c>
      <c r="H59" s="31">
        <v>5.5</v>
      </c>
      <c r="I59" s="32">
        <v>5.4</v>
      </c>
      <c r="J59" s="31">
        <v>5.0999999999999996</v>
      </c>
      <c r="K59" s="32">
        <v>5.2</v>
      </c>
      <c r="L59" s="33">
        <v>5.2</v>
      </c>
      <c r="M59" s="7">
        <v>5.0999999999999996</v>
      </c>
      <c r="N59" s="7">
        <v>5.2</v>
      </c>
      <c r="O59" s="7">
        <v>5.0999999999999996</v>
      </c>
      <c r="P59" s="7">
        <v>5.2</v>
      </c>
      <c r="Q59" s="50">
        <f t="shared" si="7"/>
        <v>5.4477931369665571</v>
      </c>
      <c r="R59" s="41"/>
      <c r="U59" s="74">
        <f t="shared" si="6"/>
        <v>1.695210597672306</v>
      </c>
    </row>
    <row r="60" spans="1:21">
      <c r="A60" s="8" t="s">
        <v>11</v>
      </c>
      <c r="B60" s="29">
        <v>6.3593575554865822</v>
      </c>
      <c r="C60" s="29">
        <v>6.4</v>
      </c>
      <c r="D60" s="30">
        <v>5.6</v>
      </c>
      <c r="E60" s="30">
        <v>5.2</v>
      </c>
      <c r="F60" s="31">
        <v>4.9000000000000004</v>
      </c>
      <c r="G60" s="31">
        <v>5</v>
      </c>
      <c r="H60" s="31">
        <v>4.8</v>
      </c>
      <c r="I60" s="32">
        <v>4.9000000000000004</v>
      </c>
      <c r="J60" s="31">
        <v>4.8</v>
      </c>
      <c r="K60" s="32">
        <v>4.8</v>
      </c>
      <c r="L60" s="33">
        <v>4.8</v>
      </c>
      <c r="M60" s="7">
        <v>4.7</v>
      </c>
      <c r="N60" s="7">
        <v>4.8</v>
      </c>
      <c r="O60" s="7">
        <v>4.8</v>
      </c>
      <c r="P60" s="7">
        <v>4.8</v>
      </c>
      <c r="Q60" s="50">
        <f t="shared" si="7"/>
        <v>5.1106238370324375</v>
      </c>
      <c r="R60" s="42"/>
      <c r="U60" s="74">
        <f t="shared" si="6"/>
        <v>1.6313214783753041</v>
      </c>
    </row>
    <row r="61" spans="1:21">
      <c r="A61" s="8" t="s">
        <v>12</v>
      </c>
      <c r="B61" s="29">
        <v>6.3189844058681972</v>
      </c>
      <c r="C61" s="29">
        <v>6.3</v>
      </c>
      <c r="D61" s="30">
        <v>5.8</v>
      </c>
      <c r="E61" s="30">
        <v>5.4</v>
      </c>
      <c r="F61" s="31">
        <v>5.2</v>
      </c>
      <c r="G61" s="31">
        <v>5.0999999999999996</v>
      </c>
      <c r="H61" s="31">
        <v>5</v>
      </c>
      <c r="I61" s="32">
        <v>5.0999999999999996</v>
      </c>
      <c r="J61" s="31">
        <v>5</v>
      </c>
      <c r="K61" s="32">
        <v>4.9000000000000004</v>
      </c>
      <c r="L61" s="33">
        <v>4.9000000000000004</v>
      </c>
      <c r="M61" s="7">
        <v>4.8</v>
      </c>
      <c r="N61" s="7">
        <v>5</v>
      </c>
      <c r="O61" s="7">
        <v>4.9000000000000004</v>
      </c>
      <c r="P61" s="7">
        <v>4.9000000000000004</v>
      </c>
      <c r="Q61" s="50">
        <f t="shared" si="7"/>
        <v>5.2412656270578806</v>
      </c>
      <c r="R61" s="41"/>
      <c r="U61" s="74">
        <f t="shared" si="6"/>
        <v>1.6565630010500969</v>
      </c>
    </row>
    <row r="62" spans="1:21">
      <c r="A62" s="8" t="s">
        <v>13</v>
      </c>
      <c r="B62" s="29">
        <v>6.4246470947324665</v>
      </c>
      <c r="C62" s="29">
        <v>6.4</v>
      </c>
      <c r="D62" s="30">
        <v>5.7</v>
      </c>
      <c r="E62" s="30">
        <v>5.2</v>
      </c>
      <c r="F62" s="31">
        <v>5.0999999999999996</v>
      </c>
      <c r="G62" s="31">
        <v>5.0999999999999996</v>
      </c>
      <c r="H62" s="31">
        <v>4.8</v>
      </c>
      <c r="I62" s="32">
        <v>5</v>
      </c>
      <c r="J62" s="31">
        <v>4.9000000000000004</v>
      </c>
      <c r="K62" s="32">
        <v>4.8</v>
      </c>
      <c r="L62" s="33">
        <v>4.8</v>
      </c>
      <c r="M62" s="7">
        <v>4.8</v>
      </c>
      <c r="N62" s="7">
        <v>4.9000000000000004</v>
      </c>
      <c r="O62" s="7">
        <v>4.8</v>
      </c>
      <c r="P62" s="7">
        <v>4.7</v>
      </c>
      <c r="Q62" s="50">
        <f t="shared" si="7"/>
        <v>5.16164313964883</v>
      </c>
      <c r="R62" s="43"/>
      <c r="U62" s="74">
        <f t="shared" si="6"/>
        <v>1.6412549667193188</v>
      </c>
    </row>
    <row r="63" spans="1:21">
      <c r="A63" s="8" t="s">
        <v>14</v>
      </c>
      <c r="B63" s="29">
        <v>6.6203983951573164</v>
      </c>
      <c r="C63" s="29">
        <v>6.6</v>
      </c>
      <c r="D63" s="30">
        <v>6.2</v>
      </c>
      <c r="E63" s="30">
        <v>5.8</v>
      </c>
      <c r="F63" s="31">
        <v>5.7</v>
      </c>
      <c r="G63" s="31">
        <v>5.5</v>
      </c>
      <c r="H63" s="31">
        <v>5.0999999999999996</v>
      </c>
      <c r="I63" s="32">
        <v>4.7</v>
      </c>
      <c r="J63" s="31">
        <v>4.5999999999999996</v>
      </c>
      <c r="K63" s="32">
        <v>4.5999999999999996</v>
      </c>
      <c r="L63" s="33">
        <v>4.5</v>
      </c>
      <c r="M63" s="7">
        <v>4.4000000000000004</v>
      </c>
      <c r="N63" s="7">
        <v>4.5999999999999996</v>
      </c>
      <c r="O63" s="7">
        <v>4.5999999999999996</v>
      </c>
      <c r="P63" s="7">
        <v>4.5999999999999996</v>
      </c>
      <c r="Q63" s="50">
        <f>AVERAGE(B63:P63)</f>
        <v>5.2080265596771538</v>
      </c>
      <c r="R63" s="41"/>
      <c r="U63" s="74">
        <f t="shared" si="6"/>
        <v>1.6502010046776641</v>
      </c>
    </row>
    <row r="64" spans="1:21">
      <c r="A64" s="8" t="s">
        <v>15</v>
      </c>
      <c r="B64" s="29">
        <v>7.3537832658661317</v>
      </c>
      <c r="C64" s="29">
        <v>7.7</v>
      </c>
      <c r="D64" s="30">
        <v>6.3</v>
      </c>
      <c r="E64" s="30">
        <v>5.6</v>
      </c>
      <c r="F64" s="31">
        <v>5.6</v>
      </c>
      <c r="G64" s="31">
        <v>5.6</v>
      </c>
      <c r="H64" s="31">
        <v>5.5</v>
      </c>
      <c r="I64" s="32">
        <v>5.3</v>
      </c>
      <c r="J64" s="31">
        <v>5.3</v>
      </c>
      <c r="K64" s="32">
        <v>5.3</v>
      </c>
      <c r="L64" s="33">
        <v>5.2</v>
      </c>
      <c r="M64" s="7">
        <v>5.0999999999999996</v>
      </c>
      <c r="N64" s="7">
        <v>5.2</v>
      </c>
      <c r="O64" s="7">
        <v>5.2</v>
      </c>
      <c r="P64" s="7">
        <v>5</v>
      </c>
      <c r="Q64" s="50">
        <f t="shared" si="7"/>
        <v>5.6835855510577415</v>
      </c>
      <c r="R64" s="41"/>
      <c r="U64" s="74">
        <f t="shared" si="6"/>
        <v>1.7375822925619533</v>
      </c>
    </row>
    <row r="67" spans="1:21">
      <c r="A67" s="1" t="s">
        <v>158</v>
      </c>
      <c r="B67" s="1"/>
      <c r="C67" s="1"/>
      <c r="D67" s="1"/>
      <c r="E67" s="1"/>
      <c r="F67" s="1" t="s">
        <v>17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21" ht="17">
      <c r="A69" s="15"/>
      <c r="B69" s="35">
        <v>2008</v>
      </c>
      <c r="C69" s="35">
        <v>2009</v>
      </c>
      <c r="D69" s="35">
        <v>2010</v>
      </c>
      <c r="E69" s="35">
        <v>2011</v>
      </c>
      <c r="F69" s="35">
        <v>2012</v>
      </c>
      <c r="G69" s="35">
        <v>2013</v>
      </c>
      <c r="H69" s="35">
        <v>2014</v>
      </c>
      <c r="I69" s="35">
        <v>2015</v>
      </c>
      <c r="J69" s="35">
        <v>2016</v>
      </c>
      <c r="K69" s="35">
        <v>2017</v>
      </c>
      <c r="L69" s="35">
        <v>2018</v>
      </c>
      <c r="M69" s="35">
        <v>2019</v>
      </c>
      <c r="N69" s="35">
        <v>2020</v>
      </c>
      <c r="O69" s="35">
        <v>2021</v>
      </c>
      <c r="P69" s="51">
        <v>2022</v>
      </c>
      <c r="Q69" s="5" t="s">
        <v>56</v>
      </c>
      <c r="R69" s="44"/>
      <c r="S69" s="1"/>
    </row>
    <row r="70" spans="1:21">
      <c r="A70" s="52" t="s">
        <v>62</v>
      </c>
      <c r="B70" s="79">
        <v>8265935</v>
      </c>
      <c r="C70" s="80">
        <v>8662919</v>
      </c>
      <c r="D70" s="80">
        <v>8819620</v>
      </c>
      <c r="E70" s="80">
        <v>8973922</v>
      </c>
      <c r="F70" s="80">
        <v>9127543</v>
      </c>
      <c r="G70" s="80">
        <v>9277871</v>
      </c>
      <c r="H70" s="79">
        <v>9433575</v>
      </c>
      <c r="I70" s="79">
        <v>9837025</v>
      </c>
      <c r="J70" s="79">
        <v>10035577</v>
      </c>
      <c r="K70" s="80">
        <v>10331492</v>
      </c>
      <c r="L70" s="79">
        <v>10509796</v>
      </c>
      <c r="M70" s="80">
        <v>10698208</v>
      </c>
      <c r="N70" s="79">
        <v>10938652</v>
      </c>
      <c r="O70" s="79">
        <v>11151376</v>
      </c>
      <c r="P70" s="81">
        <v>11991238</v>
      </c>
      <c r="Q70" s="53">
        <f>AVERAGE(B70:P70)</f>
        <v>9870316.5999999996</v>
      </c>
      <c r="R70" s="36"/>
      <c r="S70" s="75">
        <f>Q70/1000000</f>
        <v>9.8703165999999989</v>
      </c>
      <c r="U70" s="74">
        <f t="shared" ref="U70:U86" si="8">LN(S70)</f>
        <v>2.2895319299319472</v>
      </c>
    </row>
    <row r="71" spans="1:21">
      <c r="A71" s="54" t="s">
        <v>1</v>
      </c>
      <c r="B71" s="79">
        <v>333559</v>
      </c>
      <c r="C71" s="80">
        <v>342188</v>
      </c>
      <c r="D71" s="80">
        <v>342340</v>
      </c>
      <c r="E71" s="80">
        <v>342449</v>
      </c>
      <c r="F71" s="80">
        <v>341776</v>
      </c>
      <c r="G71" s="80">
        <v>344254</v>
      </c>
      <c r="H71" s="79">
        <v>346400</v>
      </c>
      <c r="I71" s="79">
        <v>347353</v>
      </c>
      <c r="J71" s="79">
        <v>351228</v>
      </c>
      <c r="K71" s="80">
        <v>348692</v>
      </c>
      <c r="L71" s="79">
        <v>348685</v>
      </c>
      <c r="M71" s="80">
        <v>348269</v>
      </c>
      <c r="N71" s="79">
        <v>348117</v>
      </c>
      <c r="O71" s="79">
        <v>349320</v>
      </c>
      <c r="P71" s="81">
        <v>438207</v>
      </c>
      <c r="Q71" s="53">
        <f t="shared" ref="Q71:Q86" si="9">AVERAGE(B71:P71)</f>
        <v>351522.46666666667</v>
      </c>
      <c r="R71" s="36"/>
      <c r="S71" s="75">
        <f t="shared" ref="S71:S86" si="10">Q71/1000000</f>
        <v>0.3515224666666667</v>
      </c>
      <c r="U71" s="74">
        <f t="shared" si="8"/>
        <v>-1.0454816532258657</v>
      </c>
    </row>
    <row r="72" spans="1:21">
      <c r="A72" s="54" t="s">
        <v>63</v>
      </c>
      <c r="B72" s="79">
        <v>379195</v>
      </c>
      <c r="C72" s="80">
        <v>460251</v>
      </c>
      <c r="D72" s="80">
        <v>465370</v>
      </c>
      <c r="E72" s="80">
        <v>478191</v>
      </c>
      <c r="F72" s="80">
        <v>484995</v>
      </c>
      <c r="G72" s="80">
        <v>490642</v>
      </c>
      <c r="H72" s="79">
        <v>498846</v>
      </c>
      <c r="I72" s="79">
        <v>510608</v>
      </c>
      <c r="J72" s="79">
        <v>521215</v>
      </c>
      <c r="K72" s="80">
        <v>585938</v>
      </c>
      <c r="L72" s="79">
        <v>602135</v>
      </c>
      <c r="M72" s="80">
        <v>614492</v>
      </c>
      <c r="N72" s="79">
        <v>628017</v>
      </c>
      <c r="O72" s="79">
        <v>640960</v>
      </c>
      <c r="P72" s="81">
        <v>681135</v>
      </c>
      <c r="Q72" s="53">
        <f t="shared" si="9"/>
        <v>536132.66666666663</v>
      </c>
      <c r="R72" s="36"/>
      <c r="S72" s="75">
        <f t="shared" si="10"/>
        <v>0.53613266666666659</v>
      </c>
      <c r="U72" s="74">
        <f t="shared" si="8"/>
        <v>-0.62337363609967422</v>
      </c>
    </row>
    <row r="73" spans="1:21">
      <c r="A73" s="54" t="s">
        <v>3</v>
      </c>
      <c r="B73" s="79">
        <v>382987</v>
      </c>
      <c r="C73" s="80">
        <v>424687</v>
      </c>
      <c r="D73" s="80">
        <v>431646</v>
      </c>
      <c r="E73" s="80">
        <v>438498</v>
      </c>
      <c r="F73" s="80">
        <v>444588</v>
      </c>
      <c r="G73" s="80">
        <v>451970</v>
      </c>
      <c r="H73" s="79">
        <v>457747</v>
      </c>
      <c r="I73" s="79">
        <v>465755</v>
      </c>
      <c r="J73" s="79">
        <v>471018</v>
      </c>
      <c r="K73" s="80">
        <v>474717</v>
      </c>
      <c r="L73" s="79">
        <v>464453</v>
      </c>
      <c r="M73" s="80">
        <v>457411</v>
      </c>
      <c r="N73" s="79">
        <v>451551</v>
      </c>
      <c r="O73" s="79">
        <v>455085</v>
      </c>
      <c r="P73" s="81">
        <v>241061</v>
      </c>
      <c r="Q73" s="53">
        <f t="shared" si="9"/>
        <v>434211.6</v>
      </c>
      <c r="R73" s="36"/>
      <c r="S73" s="75">
        <f t="shared" si="10"/>
        <v>0.43421159999999998</v>
      </c>
      <c r="U73" s="74">
        <f t="shared" si="8"/>
        <v>-0.83422330609563533</v>
      </c>
    </row>
    <row r="74" spans="1:21">
      <c r="A74" s="54" t="s">
        <v>4</v>
      </c>
      <c r="B74" s="79">
        <v>235396</v>
      </c>
      <c r="C74" s="80">
        <v>239034</v>
      </c>
      <c r="D74" s="80">
        <v>247283</v>
      </c>
      <c r="E74" s="80">
        <v>254155</v>
      </c>
      <c r="F74" s="80">
        <v>260660</v>
      </c>
      <c r="G74" s="80">
        <v>268176</v>
      </c>
      <c r="H74" s="79">
        <v>265207</v>
      </c>
      <c r="I74" s="79">
        <v>274324</v>
      </c>
      <c r="J74" s="79">
        <v>283404</v>
      </c>
      <c r="K74" s="80">
        <v>318107</v>
      </c>
      <c r="L74" s="79">
        <v>325421</v>
      </c>
      <c r="M74" s="80">
        <v>330218</v>
      </c>
      <c r="N74" s="79">
        <v>352241</v>
      </c>
      <c r="O74" s="79">
        <v>357787</v>
      </c>
      <c r="P74" s="81">
        <v>376056</v>
      </c>
      <c r="Q74" s="53">
        <f t="shared" si="9"/>
        <v>292497.93333333335</v>
      </c>
      <c r="R74" s="36"/>
      <c r="S74" s="75">
        <f t="shared" si="10"/>
        <v>0.29249793333333335</v>
      </c>
      <c r="U74" s="74">
        <f t="shared" si="8"/>
        <v>-1.2292976778622522</v>
      </c>
    </row>
    <row r="75" spans="1:21">
      <c r="A75" s="54" t="s">
        <v>5</v>
      </c>
      <c r="B75" s="79">
        <v>272886</v>
      </c>
      <c r="C75" s="80">
        <v>277055</v>
      </c>
      <c r="D75" s="80">
        <v>283677</v>
      </c>
      <c r="E75" s="80">
        <v>290025</v>
      </c>
      <c r="F75" s="80">
        <v>297123</v>
      </c>
      <c r="G75" s="80">
        <v>303093</v>
      </c>
      <c r="H75" s="79">
        <v>307093</v>
      </c>
      <c r="I75" s="79">
        <v>312408</v>
      </c>
      <c r="J75" s="79">
        <v>317342</v>
      </c>
      <c r="K75" s="80">
        <v>324459</v>
      </c>
      <c r="L75" s="79">
        <v>333263</v>
      </c>
      <c r="M75" s="80">
        <v>339259</v>
      </c>
      <c r="N75" s="79">
        <v>344398</v>
      </c>
      <c r="O75" s="79">
        <v>348278</v>
      </c>
      <c r="P75" s="81">
        <v>382273</v>
      </c>
      <c r="Q75" s="53">
        <f t="shared" si="9"/>
        <v>315508.8</v>
      </c>
      <c r="R75" s="36"/>
      <c r="S75" s="75">
        <f t="shared" si="10"/>
        <v>0.31550879999999998</v>
      </c>
      <c r="U75" s="74">
        <f t="shared" si="8"/>
        <v>-1.1535687051553021</v>
      </c>
    </row>
    <row r="76" spans="1:21">
      <c r="A76" s="54" t="s">
        <v>6</v>
      </c>
      <c r="B76" s="79">
        <v>427067</v>
      </c>
      <c r="C76" s="80">
        <v>415047</v>
      </c>
      <c r="D76" s="80">
        <v>420278</v>
      </c>
      <c r="E76" s="80">
        <v>422763</v>
      </c>
      <c r="F76" s="80">
        <v>422200</v>
      </c>
      <c r="G76" s="80">
        <v>427848</v>
      </c>
      <c r="H76" s="79">
        <v>436433</v>
      </c>
      <c r="I76" s="79">
        <v>442690</v>
      </c>
      <c r="J76" s="79">
        <v>449510</v>
      </c>
      <c r="K76" s="80">
        <v>448670</v>
      </c>
      <c r="L76" s="79">
        <v>443895</v>
      </c>
      <c r="M76" s="80">
        <v>447006</v>
      </c>
      <c r="N76" s="79">
        <v>448133</v>
      </c>
      <c r="O76" s="79">
        <v>454055</v>
      </c>
      <c r="P76" s="81">
        <v>521943</v>
      </c>
      <c r="Q76" s="53">
        <f t="shared" si="9"/>
        <v>441835.86666666664</v>
      </c>
      <c r="R76" s="36"/>
      <c r="S76" s="75">
        <f t="shared" si="10"/>
        <v>0.44183586666666663</v>
      </c>
      <c r="U76" s="74">
        <f t="shared" si="8"/>
        <v>-0.81681680825220238</v>
      </c>
    </row>
    <row r="77" spans="1:21">
      <c r="A77" s="54" t="s">
        <v>7</v>
      </c>
      <c r="B77" s="79">
        <v>1042220</v>
      </c>
      <c r="C77" s="80">
        <v>1039005</v>
      </c>
      <c r="D77" s="80">
        <v>1048067</v>
      </c>
      <c r="E77" s="80">
        <v>1055760</v>
      </c>
      <c r="F77" s="80">
        <v>1063265</v>
      </c>
      <c r="G77" s="80">
        <v>1068412</v>
      </c>
      <c r="H77" s="79">
        <v>1077487</v>
      </c>
      <c r="I77" s="79">
        <v>1088185</v>
      </c>
      <c r="J77" s="79">
        <v>1096741</v>
      </c>
      <c r="K77" s="80">
        <v>1098499</v>
      </c>
      <c r="L77" s="79">
        <v>1099145</v>
      </c>
      <c r="M77" s="80">
        <v>1097418</v>
      </c>
      <c r="N77" s="79">
        <v>1097991</v>
      </c>
      <c r="O77" s="79">
        <v>1099620</v>
      </c>
      <c r="P77" s="81">
        <v>920015</v>
      </c>
      <c r="Q77" s="53">
        <f t="shared" si="9"/>
        <v>1066122</v>
      </c>
      <c r="R77" s="36"/>
      <c r="S77" s="75">
        <f t="shared" si="10"/>
        <v>1.066122</v>
      </c>
      <c r="U77" s="74">
        <f t="shared" si="8"/>
        <v>6.4027765724229108E-2</v>
      </c>
    </row>
    <row r="78" spans="1:21">
      <c r="A78" s="54" t="s">
        <v>8</v>
      </c>
      <c r="B78" s="79">
        <v>431406</v>
      </c>
      <c r="C78" s="80">
        <v>439558</v>
      </c>
      <c r="D78" s="80">
        <v>441264</v>
      </c>
      <c r="E78" s="80">
        <v>443293</v>
      </c>
      <c r="F78" s="80">
        <v>446467</v>
      </c>
      <c r="G78" s="80">
        <v>451006</v>
      </c>
      <c r="H78" s="79">
        <v>454765</v>
      </c>
      <c r="I78" s="79">
        <v>460358</v>
      </c>
      <c r="J78" s="79">
        <v>467277</v>
      </c>
      <c r="K78" s="80">
        <v>468822</v>
      </c>
      <c r="L78" s="79">
        <v>472807</v>
      </c>
      <c r="M78" s="80">
        <v>475681</v>
      </c>
      <c r="N78" s="79">
        <v>503449</v>
      </c>
      <c r="O78" s="79">
        <v>504909</v>
      </c>
      <c r="P78" s="81">
        <v>513228</v>
      </c>
      <c r="Q78" s="53">
        <f t="shared" si="9"/>
        <v>464952.66666666669</v>
      </c>
      <c r="R78" s="36"/>
      <c r="S78" s="75">
        <f t="shared" si="10"/>
        <v>0.46495266666666668</v>
      </c>
      <c r="U78" s="74">
        <f t="shared" si="8"/>
        <v>-0.76581967069064494</v>
      </c>
    </row>
    <row r="79" spans="1:21">
      <c r="A79" s="54" t="s">
        <v>9</v>
      </c>
      <c r="B79" s="79">
        <v>223291</v>
      </c>
      <c r="C79" s="80">
        <v>283971</v>
      </c>
      <c r="D79" s="80">
        <v>290488</v>
      </c>
      <c r="E79" s="80">
        <v>295745</v>
      </c>
      <c r="F79" s="80">
        <v>302088</v>
      </c>
      <c r="G79" s="80">
        <v>309941</v>
      </c>
      <c r="H79" s="79">
        <v>316721</v>
      </c>
      <c r="I79" s="79">
        <v>324986</v>
      </c>
      <c r="J79" s="79">
        <v>333687</v>
      </c>
      <c r="K79" s="80">
        <v>340834</v>
      </c>
      <c r="L79" s="79">
        <v>346193</v>
      </c>
      <c r="M79" s="80">
        <v>352020</v>
      </c>
      <c r="N79" s="79">
        <v>358114</v>
      </c>
      <c r="O79" s="79">
        <v>364939</v>
      </c>
      <c r="P79" s="81">
        <v>385564</v>
      </c>
      <c r="Q79" s="53">
        <f t="shared" si="9"/>
        <v>321905.46666666667</v>
      </c>
      <c r="R79" s="36"/>
      <c r="S79" s="75">
        <f t="shared" si="10"/>
        <v>0.3219054666666667</v>
      </c>
      <c r="U79" s="74">
        <f t="shared" si="8"/>
        <v>-1.1334973583218344</v>
      </c>
    </row>
    <row r="80" spans="1:21">
      <c r="A80" s="54" t="s">
        <v>10</v>
      </c>
      <c r="B80" s="79">
        <v>234734</v>
      </c>
      <c r="C80" s="80">
        <v>262237</v>
      </c>
      <c r="D80" s="80">
        <v>269442</v>
      </c>
      <c r="E80" s="80">
        <v>275840</v>
      </c>
      <c r="F80" s="80">
        <v>281915</v>
      </c>
      <c r="G80" s="80">
        <v>287759</v>
      </c>
      <c r="H80" s="79">
        <v>293110</v>
      </c>
      <c r="I80" s="79">
        <v>268107</v>
      </c>
      <c r="J80" s="79">
        <v>271572</v>
      </c>
      <c r="K80" s="80">
        <v>273540</v>
      </c>
      <c r="L80" s="79">
        <v>269243</v>
      </c>
      <c r="M80" s="80">
        <v>271054</v>
      </c>
      <c r="N80" s="79">
        <v>276648</v>
      </c>
      <c r="O80" s="79">
        <v>287713</v>
      </c>
      <c r="P80" s="81">
        <v>336108</v>
      </c>
      <c r="Q80" s="53">
        <f t="shared" si="9"/>
        <v>277268.13333333336</v>
      </c>
      <c r="R80" s="36"/>
      <c r="S80" s="75">
        <f t="shared" si="10"/>
        <v>0.27726813333333333</v>
      </c>
      <c r="U80" s="74">
        <f t="shared" si="8"/>
        <v>-1.2827702506223171</v>
      </c>
    </row>
    <row r="81" spans="1:21">
      <c r="A81" s="54" t="s">
        <v>64</v>
      </c>
      <c r="B81" s="79">
        <v>890056</v>
      </c>
      <c r="C81" s="80">
        <v>970164</v>
      </c>
      <c r="D81" s="80">
        <v>988720</v>
      </c>
      <c r="E81" s="80">
        <v>1007801</v>
      </c>
      <c r="F81" s="80">
        <v>1025531</v>
      </c>
      <c r="G81" s="80">
        <v>1048342</v>
      </c>
      <c r="H81" s="79">
        <v>1069661</v>
      </c>
      <c r="I81" s="79">
        <v>1247244</v>
      </c>
      <c r="J81" s="79">
        <v>1277777</v>
      </c>
      <c r="K81" s="80">
        <v>389740</v>
      </c>
      <c r="L81" s="79">
        <v>388845</v>
      </c>
      <c r="M81" s="80">
        <v>389401</v>
      </c>
      <c r="N81" s="79">
        <v>405545</v>
      </c>
      <c r="O81" s="79">
        <v>417674</v>
      </c>
      <c r="P81" s="81">
        <v>508592</v>
      </c>
      <c r="Q81" s="53">
        <f t="shared" si="9"/>
        <v>801672.8666666667</v>
      </c>
      <c r="R81" s="36"/>
      <c r="S81" s="75">
        <f t="shared" si="10"/>
        <v>0.80167286666666671</v>
      </c>
      <c r="U81" s="74">
        <f t="shared" si="8"/>
        <v>-0.2210546512525576</v>
      </c>
    </row>
    <row r="82" spans="1:21">
      <c r="A82" s="54" t="s">
        <v>11</v>
      </c>
      <c r="B82" s="79">
        <v>490553</v>
      </c>
      <c r="C82" s="80">
        <v>504004</v>
      </c>
      <c r="D82" s="80">
        <v>508777</v>
      </c>
      <c r="E82" s="80">
        <v>511891</v>
      </c>
      <c r="F82" s="80">
        <v>514499</v>
      </c>
      <c r="G82" s="80">
        <v>518334</v>
      </c>
      <c r="H82" s="79">
        <v>524977</v>
      </c>
      <c r="I82" s="79">
        <v>529959</v>
      </c>
      <c r="J82" s="79">
        <v>534532</v>
      </c>
      <c r="K82" s="80">
        <v>534667</v>
      </c>
      <c r="L82" s="79">
        <v>533477</v>
      </c>
      <c r="M82" s="80">
        <v>532029</v>
      </c>
      <c r="N82" s="79">
        <v>530762</v>
      </c>
      <c r="O82" s="79">
        <v>530225</v>
      </c>
      <c r="P82" s="81">
        <v>533199</v>
      </c>
      <c r="Q82" s="53">
        <f t="shared" si="9"/>
        <v>522125.66666666669</v>
      </c>
      <c r="R82" s="36"/>
      <c r="S82" s="75">
        <f t="shared" si="10"/>
        <v>0.52212566666666671</v>
      </c>
      <c r="U82" s="74">
        <f t="shared" si="8"/>
        <v>-0.64984697933215962</v>
      </c>
    </row>
    <row r="83" spans="1:21">
      <c r="A83" s="54" t="s">
        <v>12</v>
      </c>
      <c r="B83" s="79">
        <v>230230</v>
      </c>
      <c r="C83" s="80">
        <v>237442</v>
      </c>
      <c r="D83" s="80">
        <v>238032</v>
      </c>
      <c r="E83" s="80">
        <v>238869</v>
      </c>
      <c r="F83" s="80">
        <v>238501</v>
      </c>
      <c r="G83" s="80">
        <v>239297</v>
      </c>
      <c r="H83" s="79">
        <v>241337</v>
      </c>
      <c r="I83" s="79">
        <v>243231</v>
      </c>
      <c r="J83" s="79">
        <v>248935</v>
      </c>
      <c r="K83" s="80">
        <v>250202</v>
      </c>
      <c r="L83" s="79">
        <v>251737</v>
      </c>
      <c r="M83" s="80">
        <v>252673</v>
      </c>
      <c r="N83" s="79">
        <v>252826</v>
      </c>
      <c r="O83" s="79">
        <v>253204</v>
      </c>
      <c r="P83" s="81">
        <v>259143</v>
      </c>
      <c r="Q83" s="53">
        <f t="shared" si="9"/>
        <v>245043.93333333332</v>
      </c>
      <c r="R83" s="36"/>
      <c r="S83" s="75">
        <f t="shared" si="10"/>
        <v>0.24504393333333332</v>
      </c>
      <c r="U83" s="74">
        <f t="shared" si="8"/>
        <v>-1.4063177647853795</v>
      </c>
    </row>
    <row r="84" spans="1:21">
      <c r="A84" s="54" t="s">
        <v>13</v>
      </c>
      <c r="B84" s="79">
        <v>764932</v>
      </c>
      <c r="C84" s="80">
        <v>801145</v>
      </c>
      <c r="D84" s="80">
        <v>804474</v>
      </c>
      <c r="E84" s="80">
        <v>808328</v>
      </c>
      <c r="F84" s="80">
        <v>811701</v>
      </c>
      <c r="G84" s="80">
        <v>815803</v>
      </c>
      <c r="H84" s="79">
        <v>822473</v>
      </c>
      <c r="I84" s="79">
        <v>827570</v>
      </c>
      <c r="J84" s="79">
        <v>835989</v>
      </c>
      <c r="K84" s="80">
        <v>838305</v>
      </c>
      <c r="L84" s="79">
        <v>845758</v>
      </c>
      <c r="M84" s="80">
        <v>849152</v>
      </c>
      <c r="N84" s="79">
        <v>849730</v>
      </c>
      <c r="O84" s="79">
        <v>851472</v>
      </c>
      <c r="P84" s="81">
        <v>482916</v>
      </c>
      <c r="Q84" s="53">
        <f t="shared" si="9"/>
        <v>800649.8666666667</v>
      </c>
      <c r="R84" s="36"/>
      <c r="S84" s="75">
        <f t="shared" si="10"/>
        <v>0.80064986666666671</v>
      </c>
      <c r="U84" s="74">
        <f t="shared" si="8"/>
        <v>-0.22233154774502506</v>
      </c>
    </row>
    <row r="85" spans="1:21">
      <c r="A85" s="54" t="s">
        <v>61</v>
      </c>
      <c r="B85" s="79">
        <v>602684</v>
      </c>
      <c r="C85" s="80">
        <v>605254</v>
      </c>
      <c r="D85" s="80">
        <v>649152</v>
      </c>
      <c r="E85" s="80">
        <v>697162</v>
      </c>
      <c r="F85" s="80">
        <v>742868</v>
      </c>
      <c r="G85" s="80">
        <v>778145</v>
      </c>
      <c r="H85" s="79">
        <v>814419</v>
      </c>
      <c r="I85" s="79">
        <v>852803</v>
      </c>
      <c r="J85" s="79">
        <v>872584</v>
      </c>
      <c r="K85" s="80">
        <v>972692</v>
      </c>
      <c r="L85" s="79">
        <v>1030577</v>
      </c>
      <c r="M85" s="80">
        <v>1078384</v>
      </c>
      <c r="N85" s="79">
        <v>1136156</v>
      </c>
      <c r="O85" s="79">
        <v>1184411</v>
      </c>
      <c r="P85" s="81">
        <v>1295711</v>
      </c>
      <c r="Q85" s="53">
        <f t="shared" si="9"/>
        <v>887533.46666666667</v>
      </c>
      <c r="R85" s="36"/>
      <c r="S85" s="75">
        <f t="shared" si="10"/>
        <v>0.88753346666666666</v>
      </c>
      <c r="U85" s="74">
        <f t="shared" si="8"/>
        <v>-0.11930904942334186</v>
      </c>
    </row>
    <row r="86" spans="1:21">
      <c r="A86" s="54" t="s">
        <v>65</v>
      </c>
      <c r="B86" s="79">
        <v>1324739</v>
      </c>
      <c r="C86" s="80">
        <v>1361877</v>
      </c>
      <c r="D86" s="80">
        <v>1390610</v>
      </c>
      <c r="E86" s="80">
        <v>1413152</v>
      </c>
      <c r="F86" s="80">
        <v>1449366</v>
      </c>
      <c r="G86" s="80">
        <v>1474849</v>
      </c>
      <c r="H86" s="79">
        <v>1506899</v>
      </c>
      <c r="I86" s="79">
        <v>1641444</v>
      </c>
      <c r="J86" s="79">
        <v>1702766</v>
      </c>
      <c r="K86" s="80">
        <v>1751308</v>
      </c>
      <c r="L86" s="79">
        <v>1801993</v>
      </c>
      <c r="M86" s="80">
        <v>1854656</v>
      </c>
      <c r="N86" s="79">
        <v>1916822</v>
      </c>
      <c r="O86" s="79">
        <v>1977258</v>
      </c>
      <c r="P86" s="81">
        <v>2101485</v>
      </c>
      <c r="Q86" s="53">
        <f t="shared" si="9"/>
        <v>1644614.9333333333</v>
      </c>
      <c r="R86" s="36"/>
      <c r="S86" s="75">
        <f t="shared" si="10"/>
        <v>1.6446149333333333</v>
      </c>
      <c r="U86" s="74">
        <f t="shared" si="8"/>
        <v>0.49750627373557421</v>
      </c>
    </row>
    <row r="89" spans="1:21">
      <c r="A89" s="1" t="s">
        <v>70</v>
      </c>
      <c r="B89" s="1"/>
      <c r="C89" s="1"/>
      <c r="D89" s="1" t="s">
        <v>18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21" ht="17">
      <c r="A91" s="15"/>
      <c r="B91" s="35">
        <v>2008</v>
      </c>
      <c r="C91" s="35">
        <v>2009</v>
      </c>
      <c r="D91" s="35">
        <v>2010</v>
      </c>
      <c r="E91" s="35">
        <v>2011</v>
      </c>
      <c r="F91" s="35">
        <v>2012</v>
      </c>
      <c r="G91" s="35">
        <v>2013</v>
      </c>
      <c r="H91" s="35">
        <v>2014</v>
      </c>
      <c r="I91" s="35">
        <v>2015</v>
      </c>
      <c r="J91" s="35">
        <v>2016</v>
      </c>
      <c r="K91" s="35">
        <v>2017</v>
      </c>
      <c r="L91" s="35">
        <v>2018</v>
      </c>
      <c r="M91" s="35">
        <v>2019</v>
      </c>
      <c r="N91" s="35">
        <v>2020</v>
      </c>
      <c r="O91" s="35">
        <v>2021</v>
      </c>
      <c r="P91" s="51">
        <v>2022</v>
      </c>
      <c r="Q91" s="5" t="s">
        <v>56</v>
      </c>
      <c r="R91" s="44"/>
      <c r="S91" s="1"/>
    </row>
    <row r="92" spans="1:21">
      <c r="A92" s="52" t="s">
        <v>62</v>
      </c>
      <c r="B92" s="55">
        <v>54.041015685958705</v>
      </c>
      <c r="C92" s="56">
        <v>52.920186430423023</v>
      </c>
      <c r="D92" s="56">
        <v>53.141729257926521</v>
      </c>
      <c r="E92" s="56">
        <v>53.371953478215652</v>
      </c>
      <c r="F92" s="56">
        <v>53.868112580277248</v>
      </c>
      <c r="G92" s="56">
        <v>53.466661573107807</v>
      </c>
      <c r="H92" s="55">
        <v>52.223301228289621</v>
      </c>
      <c r="I92" s="55">
        <v>51.031812360273463</v>
      </c>
      <c r="J92" s="55">
        <v>50.927538000223663</v>
      </c>
      <c r="K92" s="56">
        <v>50.381315905703552</v>
      </c>
      <c r="L92" s="55">
        <v>50.330249419284335</v>
      </c>
      <c r="M92" s="56">
        <v>50.128821797121013</v>
      </c>
      <c r="N92" s="55">
        <v>49.275192669470805</v>
      </c>
      <c r="O92" s="57">
        <v>49.030596700599673</v>
      </c>
      <c r="P92" s="9">
        <v>48.350115999156856</v>
      </c>
      <c r="Q92" s="58">
        <f>AVERAGE(B92:P92)</f>
        <v>51.499240205735454</v>
      </c>
      <c r="R92" s="37"/>
      <c r="U92" s="74">
        <f t="shared" ref="U92:U108" si="11">LN(Q92)</f>
        <v>3.9415670542741696</v>
      </c>
    </row>
    <row r="93" spans="1:21">
      <c r="A93" s="54" t="s">
        <v>1</v>
      </c>
      <c r="B93" s="55">
        <v>58.492441604555232</v>
      </c>
      <c r="C93" s="56">
        <v>58.944786803947338</v>
      </c>
      <c r="D93" s="56">
        <v>59.676195088242409</v>
      </c>
      <c r="E93" s="56">
        <v>60.372490218620143</v>
      </c>
      <c r="F93" s="56">
        <v>60.131337341177662</v>
      </c>
      <c r="G93" s="56">
        <v>60.307082186995068</v>
      </c>
      <c r="H93" s="55">
        <v>60.450753930060955</v>
      </c>
      <c r="I93" s="55">
        <v>58.36700336700337</v>
      </c>
      <c r="J93" s="55">
        <v>58.836543886515678</v>
      </c>
      <c r="K93" s="56">
        <v>58.400885658299849</v>
      </c>
      <c r="L93" s="55">
        <v>58.084666996868492</v>
      </c>
      <c r="M93" s="56">
        <v>57.982742723606016</v>
      </c>
      <c r="N93" s="55">
        <v>56.778081671157196</v>
      </c>
      <c r="O93" s="57">
        <v>56.7668978718429</v>
      </c>
      <c r="P93" s="9">
        <v>56.305904992694487</v>
      </c>
      <c r="Q93" s="58">
        <f t="shared" ref="Q93:Q108" si="12">AVERAGE(B93:P93)</f>
        <v>58.659854289439131</v>
      </c>
      <c r="R93" s="37"/>
      <c r="U93" s="74">
        <f t="shared" si="11"/>
        <v>4.0717555795612066</v>
      </c>
    </row>
    <row r="94" spans="1:21">
      <c r="A94" s="54" t="s">
        <v>63</v>
      </c>
      <c r="B94" s="55">
        <v>55.96452832333798</v>
      </c>
      <c r="C94" s="56">
        <v>52.498605939359024</v>
      </c>
      <c r="D94" s="56">
        <v>52.370968227755434</v>
      </c>
      <c r="E94" s="56">
        <v>53.479030895137114</v>
      </c>
      <c r="F94" s="56">
        <v>54.982133546967795</v>
      </c>
      <c r="G94" s="56">
        <v>54.547282160048546</v>
      </c>
      <c r="H94" s="55">
        <v>53.26872562532062</v>
      </c>
      <c r="I94" s="55">
        <v>51.858412243771554</v>
      </c>
      <c r="J94" s="55">
        <v>51.423920230759649</v>
      </c>
      <c r="K94" s="56">
        <v>50.783335047931899</v>
      </c>
      <c r="L94" s="55">
        <v>51.141118628535722</v>
      </c>
      <c r="M94" s="56">
        <v>50.284429020384366</v>
      </c>
      <c r="N94" s="55">
        <v>49.596495665518439</v>
      </c>
      <c r="O94" s="57">
        <v>49.309932653720708</v>
      </c>
      <c r="P94" s="9">
        <v>48.671938914644123</v>
      </c>
      <c r="Q94" s="58">
        <f t="shared" si="12"/>
        <v>52.012057141546194</v>
      </c>
      <c r="R94" s="37"/>
      <c r="U94" s="74">
        <f t="shared" si="11"/>
        <v>3.95147555981083</v>
      </c>
    </row>
    <row r="95" spans="1:21">
      <c r="A95" s="54" t="s">
        <v>3</v>
      </c>
      <c r="B95" s="55">
        <v>51.981466313064494</v>
      </c>
      <c r="C95" s="56">
        <v>47.860177771125912</v>
      </c>
      <c r="D95" s="56">
        <v>48.650391414265194</v>
      </c>
      <c r="E95" s="56">
        <v>50.564809455565971</v>
      </c>
      <c r="F95" s="56">
        <v>53.476688050251866</v>
      </c>
      <c r="G95" s="56">
        <v>53.654939745668727</v>
      </c>
      <c r="H95" s="55">
        <v>53.678878871615645</v>
      </c>
      <c r="I95" s="55">
        <v>51.644476681263427</v>
      </c>
      <c r="J95" s="55">
        <v>53.132804669657084</v>
      </c>
      <c r="K95" s="56">
        <v>52.309014779691097</v>
      </c>
      <c r="L95" s="55">
        <v>51.714686820557212</v>
      </c>
      <c r="M95" s="56">
        <v>50.94448817642543</v>
      </c>
      <c r="N95" s="55">
        <v>49.750355592482258</v>
      </c>
      <c r="O95" s="57">
        <v>49.159442859294685</v>
      </c>
      <c r="P95" s="9">
        <v>49.496244832586626</v>
      </c>
      <c r="Q95" s="58">
        <f t="shared" si="12"/>
        <v>51.201257735567715</v>
      </c>
      <c r="R95" s="37"/>
      <c r="U95" s="74">
        <f t="shared" si="11"/>
        <v>3.9357640968915506</v>
      </c>
    </row>
    <row r="96" spans="1:21">
      <c r="A96" s="54" t="s">
        <v>4</v>
      </c>
      <c r="B96" s="55">
        <v>52.42990482677331</v>
      </c>
      <c r="C96" s="56">
        <v>50.65573545096175</v>
      </c>
      <c r="D96" s="56">
        <v>51.978164564250996</v>
      </c>
      <c r="E96" s="56">
        <v>53.229780859457968</v>
      </c>
      <c r="F96" s="56">
        <v>53.739969316283556</v>
      </c>
      <c r="G96" s="56">
        <v>53.004418235623618</v>
      </c>
      <c r="H96" s="55">
        <v>53.061562331045685</v>
      </c>
      <c r="I96" s="55">
        <v>53.669574071748862</v>
      </c>
      <c r="J96" s="55">
        <v>52.441250035743657</v>
      </c>
      <c r="K96" s="56">
        <v>51.966493725392084</v>
      </c>
      <c r="L96" s="55">
        <v>51.50720817678561</v>
      </c>
      <c r="M96" s="56">
        <v>52.438579910412109</v>
      </c>
      <c r="N96" s="55">
        <v>51.256663773865604</v>
      </c>
      <c r="O96" s="57">
        <v>50.835933101002873</v>
      </c>
      <c r="P96" s="9">
        <v>50.393326297154751</v>
      </c>
      <c r="Q96" s="58">
        <f t="shared" si="12"/>
        <v>52.17390431176684</v>
      </c>
      <c r="R96" s="37"/>
      <c r="U96" s="74">
        <f t="shared" si="11"/>
        <v>3.9545824524891255</v>
      </c>
    </row>
    <row r="97" spans="1:21">
      <c r="A97" s="54" t="s">
        <v>5</v>
      </c>
      <c r="B97" s="55">
        <v>53.972794201296907</v>
      </c>
      <c r="C97" s="56">
        <v>55.804205621534173</v>
      </c>
      <c r="D97" s="56">
        <v>55.377257567176386</v>
      </c>
      <c r="E97" s="56">
        <v>54.821857729470977</v>
      </c>
      <c r="F97" s="56">
        <v>54.281637856871171</v>
      </c>
      <c r="G97" s="56">
        <v>53.967963608990907</v>
      </c>
      <c r="H97" s="55">
        <v>53.448809056458657</v>
      </c>
      <c r="I97" s="55">
        <v>51.737782038421983</v>
      </c>
      <c r="J97" s="55">
        <v>52.740117429118648</v>
      </c>
      <c r="K97" s="56">
        <v>52.470487737582872</v>
      </c>
      <c r="L97" s="55">
        <v>52.154879916899432</v>
      </c>
      <c r="M97" s="56">
        <v>51.816502510251794</v>
      </c>
      <c r="N97" s="55">
        <v>51.437023098330805</v>
      </c>
      <c r="O97" s="57">
        <v>51.215001602864596</v>
      </c>
      <c r="P97" s="9">
        <v>50.971204123355285</v>
      </c>
      <c r="Q97" s="58">
        <f t="shared" si="12"/>
        <v>53.08116827324163</v>
      </c>
      <c r="R97" s="37"/>
      <c r="U97" s="74">
        <f t="shared" si="11"/>
        <v>3.9718222188910071</v>
      </c>
    </row>
    <row r="98" spans="1:21">
      <c r="A98" s="54" t="s">
        <v>6</v>
      </c>
      <c r="B98" s="55">
        <v>55.661067188826564</v>
      </c>
      <c r="C98" s="56">
        <v>56.524516161897189</v>
      </c>
      <c r="D98" s="56">
        <v>56.520768264850119</v>
      </c>
      <c r="E98" s="56">
        <v>56.3339896392866</v>
      </c>
      <c r="F98" s="56">
        <v>56.061722525198377</v>
      </c>
      <c r="G98" s="56">
        <v>54.307547778291898</v>
      </c>
      <c r="H98" s="55">
        <v>51.432676515097718</v>
      </c>
      <c r="I98" s="55">
        <v>47.812039993117814</v>
      </c>
      <c r="J98" s="55">
        <v>47.420704407566426</v>
      </c>
      <c r="K98" s="56">
        <v>47.616216880195317</v>
      </c>
      <c r="L98" s="55">
        <v>47.708683533562834</v>
      </c>
      <c r="M98" s="56">
        <v>47.313495166334945</v>
      </c>
      <c r="N98" s="55">
        <v>46.853328779160059</v>
      </c>
      <c r="O98" s="57">
        <v>46.37778355185079</v>
      </c>
      <c r="P98" s="9">
        <v>46.930348484911107</v>
      </c>
      <c r="Q98" s="58">
        <f t="shared" si="12"/>
        <v>50.991659258009854</v>
      </c>
      <c r="R98" s="37"/>
      <c r="U98" s="74">
        <f t="shared" si="11"/>
        <v>3.9316620753889628</v>
      </c>
    </row>
    <row r="99" spans="1:21">
      <c r="A99" s="54" t="s">
        <v>7</v>
      </c>
      <c r="B99" s="55">
        <v>55.533160815181795</v>
      </c>
      <c r="C99" s="56">
        <v>55.211462511006879</v>
      </c>
      <c r="D99" s="56">
        <v>55.307976852174967</v>
      </c>
      <c r="E99" s="56">
        <v>54.665782193242649</v>
      </c>
      <c r="F99" s="56">
        <v>54.562291186323108</v>
      </c>
      <c r="G99" s="56">
        <v>54.602477147765192</v>
      </c>
      <c r="H99" s="55">
        <v>52.06314276994695</v>
      </c>
      <c r="I99" s="55">
        <v>51.352602565377062</v>
      </c>
      <c r="J99" s="55">
        <v>49.872690116333651</v>
      </c>
      <c r="K99" s="56">
        <v>49.539535442102384</v>
      </c>
      <c r="L99" s="55">
        <v>49.644015336061258</v>
      </c>
      <c r="M99" s="56">
        <v>49.251450093287644</v>
      </c>
      <c r="N99" s="55">
        <v>48.839697228956439</v>
      </c>
      <c r="O99" s="57">
        <v>48.940577264382554</v>
      </c>
      <c r="P99" s="9">
        <v>49.305441748915833</v>
      </c>
      <c r="Q99" s="58">
        <f t="shared" si="12"/>
        <v>51.912820218070557</v>
      </c>
      <c r="R99" s="37"/>
      <c r="U99" s="74">
        <f t="shared" si="11"/>
        <v>3.9495657773572175</v>
      </c>
    </row>
    <row r="100" spans="1:21">
      <c r="A100" s="54" t="s">
        <v>8</v>
      </c>
      <c r="B100" s="55">
        <v>62.134306726072253</v>
      </c>
      <c r="C100" s="56">
        <v>61.489582310857486</v>
      </c>
      <c r="D100" s="56">
        <v>61.525121154113918</v>
      </c>
      <c r="E100" s="56">
        <v>61.452539312384879</v>
      </c>
      <c r="F100" s="56">
        <v>61.338850773332119</v>
      </c>
      <c r="G100" s="56">
        <v>60.341477714301291</v>
      </c>
      <c r="H100" s="55">
        <v>59.021440052306104</v>
      </c>
      <c r="I100" s="55">
        <v>57.881232212112721</v>
      </c>
      <c r="J100" s="55">
        <v>58.74151114611125</v>
      </c>
      <c r="K100" s="56">
        <v>58.819019626132075</v>
      </c>
      <c r="L100" s="55">
        <v>58.552150714468439</v>
      </c>
      <c r="M100" s="56">
        <v>58.307735493443481</v>
      </c>
      <c r="N100" s="55">
        <v>56.469928582037397</v>
      </c>
      <c r="O100" s="57">
        <v>57.752356717367412</v>
      </c>
      <c r="P100" s="9">
        <v>57.078854976629977</v>
      </c>
      <c r="Q100" s="58">
        <f t="shared" si="12"/>
        <v>59.393740500778058</v>
      </c>
      <c r="R100" s="37"/>
      <c r="U100" s="74">
        <f t="shared" si="11"/>
        <v>4.0841888420410859</v>
      </c>
    </row>
    <row r="101" spans="1:21">
      <c r="A101" s="54" t="s">
        <v>9</v>
      </c>
      <c r="B101" s="55">
        <v>48.257448982496989</v>
      </c>
      <c r="C101" s="56">
        <v>45.35702797852845</v>
      </c>
      <c r="D101" s="56">
        <v>46.066027973428582</v>
      </c>
      <c r="E101" s="56">
        <v>48.17911496036465</v>
      </c>
      <c r="F101" s="56">
        <v>48.765112589581413</v>
      </c>
      <c r="G101" s="56">
        <v>48.523996411134291</v>
      </c>
      <c r="H101" s="55">
        <v>44.285722010582298</v>
      </c>
      <c r="I101" s="55">
        <v>43.079225658398862</v>
      </c>
      <c r="J101" s="55">
        <v>45.176052011742904</v>
      </c>
      <c r="K101" s="56">
        <v>44.934895614394748</v>
      </c>
      <c r="L101" s="55">
        <v>44.655796985789571</v>
      </c>
      <c r="M101" s="56">
        <v>43.951859102267939</v>
      </c>
      <c r="N101" s="55">
        <v>43.098274988768324</v>
      </c>
      <c r="O101" s="57">
        <v>42.610006530908876</v>
      </c>
      <c r="P101" s="9">
        <v>42.174257911621119</v>
      </c>
      <c r="Q101" s="58">
        <f t="shared" si="12"/>
        <v>45.274321314000602</v>
      </c>
      <c r="R101" s="37"/>
      <c r="U101" s="74">
        <f t="shared" si="11"/>
        <v>3.812740013353435</v>
      </c>
    </row>
    <row r="102" spans="1:21">
      <c r="A102" s="54" t="s">
        <v>10</v>
      </c>
      <c r="B102" s="55">
        <v>49.533263132573893</v>
      </c>
      <c r="C102" s="56">
        <v>43.304304945185869</v>
      </c>
      <c r="D102" s="56">
        <v>43.577530447638409</v>
      </c>
      <c r="E102" s="56">
        <v>46.147829487680873</v>
      </c>
      <c r="F102" s="56">
        <v>49.787372043042275</v>
      </c>
      <c r="G102" s="56">
        <v>48.298254574915902</v>
      </c>
      <c r="H102" s="55">
        <v>44.561999622083285</v>
      </c>
      <c r="I102" s="55">
        <v>48.096295087856333</v>
      </c>
      <c r="J102" s="55">
        <v>46.639618107962363</v>
      </c>
      <c r="K102" s="56">
        <v>45.43047552673827</v>
      </c>
      <c r="L102" s="55">
        <v>48.493829478871511</v>
      </c>
      <c r="M102" s="56">
        <v>47.312514468467221</v>
      </c>
      <c r="N102" s="55">
        <v>46.397661119983511</v>
      </c>
      <c r="O102" s="57">
        <v>48.444142412631969</v>
      </c>
      <c r="P102" s="9">
        <v>46.989646190084848</v>
      </c>
      <c r="Q102" s="58">
        <f t="shared" si="12"/>
        <v>46.867649109714435</v>
      </c>
      <c r="R102" s="37"/>
      <c r="U102" s="74">
        <f t="shared" si="11"/>
        <v>3.8473276530004323</v>
      </c>
    </row>
    <row r="103" spans="1:21">
      <c r="A103" s="54" t="s">
        <v>64</v>
      </c>
      <c r="B103" s="55">
        <v>47.977593871769528</v>
      </c>
      <c r="C103" s="56">
        <v>45.992702561574674</v>
      </c>
      <c r="D103" s="56">
        <v>35.485590743675296</v>
      </c>
      <c r="E103" s="56">
        <v>35.737422841699932</v>
      </c>
      <c r="F103" s="56">
        <v>36.285338924085394</v>
      </c>
      <c r="G103" s="56">
        <v>35.616683820260207</v>
      </c>
      <c r="H103" s="55">
        <v>33.939554044506274</v>
      </c>
      <c r="I103" s="55">
        <v>29.611256620560379</v>
      </c>
      <c r="J103" s="55">
        <v>29.289080707994131</v>
      </c>
      <c r="K103" s="56">
        <v>41.783296445775292</v>
      </c>
      <c r="L103" s="55">
        <v>42.085544564872123</v>
      </c>
      <c r="M103" s="56">
        <v>41.643241401453352</v>
      </c>
      <c r="N103" s="55">
        <v>40.764331210191088</v>
      </c>
      <c r="O103" s="57">
        <v>40.073221951718111</v>
      </c>
      <c r="P103" s="9">
        <v>39.990232270853383</v>
      </c>
      <c r="Q103" s="58">
        <f t="shared" si="12"/>
        <v>38.418339465399278</v>
      </c>
      <c r="R103" s="37"/>
      <c r="U103" s="74">
        <f t="shared" si="11"/>
        <v>3.6485349358285317</v>
      </c>
    </row>
    <row r="104" spans="1:21">
      <c r="A104" s="54" t="s">
        <v>11</v>
      </c>
      <c r="B104" s="55">
        <v>57.833436487713911</v>
      </c>
      <c r="C104" s="56">
        <v>58.401457139931779</v>
      </c>
      <c r="D104" s="56">
        <v>59.202439565015887</v>
      </c>
      <c r="E104" s="56">
        <v>59.110937198481963</v>
      </c>
      <c r="F104" s="56">
        <v>58.782842389987778</v>
      </c>
      <c r="G104" s="56">
        <v>58.729232876090663</v>
      </c>
      <c r="H104" s="55">
        <v>58.606560643048212</v>
      </c>
      <c r="I104" s="55">
        <v>56.387794012381697</v>
      </c>
      <c r="J104" s="55">
        <v>55.55474997165809</v>
      </c>
      <c r="K104" s="56">
        <v>54.993831025582082</v>
      </c>
      <c r="L104" s="55">
        <v>54.70687046766659</v>
      </c>
      <c r="M104" s="56">
        <v>54.345475842107149</v>
      </c>
      <c r="N104" s="55">
        <v>54.072688451664455</v>
      </c>
      <c r="O104" s="57">
        <v>53.675973220134964</v>
      </c>
      <c r="P104" s="9">
        <v>53.32374545776598</v>
      </c>
      <c r="Q104" s="58">
        <f t="shared" si="12"/>
        <v>56.515202316615415</v>
      </c>
      <c r="R104" s="37"/>
      <c r="U104" s="74">
        <f t="shared" si="11"/>
        <v>4.0345096695109293</v>
      </c>
    </row>
    <row r="105" spans="1:21">
      <c r="A105" s="54" t="s">
        <v>12</v>
      </c>
      <c r="B105" s="55">
        <v>59.609647036874478</v>
      </c>
      <c r="C105" s="56">
        <v>63.996358366218487</v>
      </c>
      <c r="D105" s="56">
        <v>64.120406686336324</v>
      </c>
      <c r="E105" s="56">
        <v>62.128767044268862</v>
      </c>
      <c r="F105" s="56">
        <v>59.879199413469642</v>
      </c>
      <c r="G105" s="56">
        <v>59.837157150250128</v>
      </c>
      <c r="H105" s="55">
        <v>57.340718297754123</v>
      </c>
      <c r="I105" s="55">
        <v>57.644929437070459</v>
      </c>
      <c r="J105" s="55">
        <v>55.99321622067648</v>
      </c>
      <c r="K105" s="56">
        <v>55.088230072785372</v>
      </c>
      <c r="L105" s="55">
        <v>55.735395213611561</v>
      </c>
      <c r="M105" s="56">
        <v>55.59054095726551</v>
      </c>
      <c r="N105" s="55">
        <v>55.46573607529772</v>
      </c>
      <c r="O105" s="57">
        <v>55.529991631953067</v>
      </c>
      <c r="P105" s="9">
        <v>54.404380545008358</v>
      </c>
      <c r="Q105" s="58">
        <f t="shared" si="12"/>
        <v>58.157644943256038</v>
      </c>
      <c r="R105" s="37"/>
      <c r="U105" s="74">
        <f t="shared" si="11"/>
        <v>4.0631573396828538</v>
      </c>
    </row>
    <row r="106" spans="1:21">
      <c r="A106" s="54" t="s">
        <v>13</v>
      </c>
      <c r="B106" s="55">
        <v>53.972670779407693</v>
      </c>
      <c r="C106" s="56">
        <v>54.693668921468053</v>
      </c>
      <c r="D106" s="56">
        <v>55.061502510956153</v>
      </c>
      <c r="E106" s="56">
        <v>54.181526352606937</v>
      </c>
      <c r="F106" s="56">
        <v>53.652602755437037</v>
      </c>
      <c r="G106" s="56">
        <v>53.511306478593582</v>
      </c>
      <c r="H106" s="55">
        <v>53.135210572666999</v>
      </c>
      <c r="I106" s="55">
        <v>51.275129598284728</v>
      </c>
      <c r="J106" s="55">
        <v>51.518926318338075</v>
      </c>
      <c r="K106" s="56">
        <v>51.979176261974949</v>
      </c>
      <c r="L106" s="55">
        <v>51.570195375593045</v>
      </c>
      <c r="M106" s="56">
        <v>51.870438518795794</v>
      </c>
      <c r="N106" s="55">
        <v>51.370877710742647</v>
      </c>
      <c r="O106" s="57">
        <v>51.460224652202633</v>
      </c>
      <c r="P106" s="9">
        <v>52.471738116092695</v>
      </c>
      <c r="Q106" s="58">
        <f t="shared" si="12"/>
        <v>52.781679661544075</v>
      </c>
      <c r="R106" s="37"/>
      <c r="U106" s="74">
        <f t="shared" si="11"/>
        <v>3.9661641543949586</v>
      </c>
    </row>
    <row r="107" spans="1:21">
      <c r="A107" s="54" t="s">
        <v>61</v>
      </c>
      <c r="B107" s="55">
        <v>58.936358025101043</v>
      </c>
      <c r="C107" s="56">
        <v>61.379189563389914</v>
      </c>
      <c r="D107" s="56">
        <v>60.186212166025832</v>
      </c>
      <c r="E107" s="56">
        <v>57.174659548282889</v>
      </c>
      <c r="F107" s="56">
        <v>56.211063069078229</v>
      </c>
      <c r="G107" s="56">
        <v>55.834066915549165</v>
      </c>
      <c r="H107" s="55">
        <v>55.812916938332727</v>
      </c>
      <c r="I107" s="55">
        <v>57.320858392852749</v>
      </c>
      <c r="J107" s="55">
        <v>56.007788361922749</v>
      </c>
      <c r="K107" s="56">
        <v>53.613271210208367</v>
      </c>
      <c r="L107" s="55">
        <v>51.565870381349477</v>
      </c>
      <c r="M107" s="56">
        <v>53.679858009762761</v>
      </c>
      <c r="N107" s="55">
        <v>51.974816838532732</v>
      </c>
      <c r="O107" s="57">
        <v>51.369921420858134</v>
      </c>
      <c r="P107" s="9">
        <v>50.589984958065493</v>
      </c>
      <c r="Q107" s="58">
        <f t="shared" si="12"/>
        <v>55.443789053287489</v>
      </c>
      <c r="R107" s="37"/>
      <c r="U107" s="74">
        <f t="shared" si="11"/>
        <v>4.0153696976632451</v>
      </c>
    </row>
    <row r="108" spans="1:21">
      <c r="A108" s="54" t="s">
        <v>65</v>
      </c>
      <c r="B108" s="55">
        <v>53.255773401402081</v>
      </c>
      <c r="C108" s="56">
        <v>51.906302845264293</v>
      </c>
      <c r="D108" s="56">
        <v>51.948425511106635</v>
      </c>
      <c r="E108" s="56">
        <v>52.428896537668976</v>
      </c>
      <c r="F108" s="56">
        <v>53.449508267752933</v>
      </c>
      <c r="G108" s="56">
        <v>53.396449399226633</v>
      </c>
      <c r="H108" s="55">
        <v>53.701077510835162</v>
      </c>
      <c r="I108" s="55">
        <v>53.916185992333574</v>
      </c>
      <c r="J108" s="55">
        <v>53.810623420951551</v>
      </c>
      <c r="K108" s="56">
        <v>53.627916962635922</v>
      </c>
      <c r="L108" s="55">
        <v>53.367188440798607</v>
      </c>
      <c r="M108" s="56">
        <v>53.194177249042404</v>
      </c>
      <c r="N108" s="55">
        <v>52.770001596392355</v>
      </c>
      <c r="O108" s="57">
        <v>52.410257032719045</v>
      </c>
      <c r="P108" s="9">
        <v>50.012253239970782</v>
      </c>
      <c r="Q108" s="58">
        <f t="shared" si="12"/>
        <v>52.879669160540061</v>
      </c>
      <c r="R108" s="37"/>
      <c r="U108" s="74">
        <f t="shared" si="11"/>
        <v>3.9680189391044203</v>
      </c>
    </row>
    <row r="111" spans="1:21">
      <c r="A111" s="1" t="s">
        <v>67</v>
      </c>
      <c r="B111" s="1"/>
      <c r="C111" s="1" t="s">
        <v>17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21" ht="17">
      <c r="A113" s="15"/>
      <c r="B113" s="15">
        <v>2008</v>
      </c>
      <c r="C113" s="15">
        <v>2009</v>
      </c>
      <c r="D113" s="15">
        <v>2010</v>
      </c>
      <c r="E113" s="15">
        <v>2011</v>
      </c>
      <c r="F113" s="15">
        <v>2012</v>
      </c>
      <c r="G113" s="15">
        <v>2013</v>
      </c>
      <c r="H113" s="15">
        <v>2014</v>
      </c>
      <c r="I113" s="15">
        <v>2015</v>
      </c>
      <c r="J113" s="15">
        <v>2016</v>
      </c>
      <c r="K113" s="15">
        <v>2017</v>
      </c>
      <c r="L113" s="15">
        <v>2018</v>
      </c>
      <c r="M113" s="15">
        <v>2019</v>
      </c>
      <c r="N113" s="15">
        <v>2020</v>
      </c>
      <c r="O113" s="15">
        <v>2021</v>
      </c>
      <c r="P113" s="15">
        <v>2022</v>
      </c>
      <c r="Q113" s="5" t="s">
        <v>56</v>
      </c>
      <c r="R113" s="1"/>
      <c r="S113" s="1"/>
    </row>
    <row r="114" spans="1:21">
      <c r="A114" s="46" t="s">
        <v>0</v>
      </c>
      <c r="B114" s="34">
        <v>8415000</v>
      </c>
      <c r="C114" s="34">
        <v>8457900</v>
      </c>
      <c r="D114" s="34">
        <v>8610700</v>
      </c>
      <c r="E114" s="33">
        <v>8774600</v>
      </c>
      <c r="F114" s="33">
        <v>8981933</v>
      </c>
      <c r="G114" s="33">
        <v>9041344</v>
      </c>
      <c r="H114" s="33">
        <v>8961965</v>
      </c>
      <c r="I114" s="33">
        <v>8887555</v>
      </c>
      <c r="J114" s="33">
        <v>8998843</v>
      </c>
      <c r="K114" s="33">
        <v>9027432</v>
      </c>
      <c r="L114" s="33">
        <v>9138633</v>
      </c>
      <c r="M114" s="33">
        <v>9221481</v>
      </c>
      <c r="N114" s="33">
        <v>9180845</v>
      </c>
      <c r="O114" s="33">
        <v>9256757</v>
      </c>
      <c r="P114" s="9">
        <v>9429800</v>
      </c>
      <c r="Q114" s="33">
        <f>AVERAGE(B114:P114)</f>
        <v>8958985.8666666672</v>
      </c>
      <c r="R114" s="45"/>
      <c r="S114" s="75">
        <f>Q114/1000000</f>
        <v>8.9589858666666675</v>
      </c>
      <c r="U114" s="74">
        <f t="shared" ref="U114:U130" si="13">LN(S114)</f>
        <v>2.1926570360571782</v>
      </c>
    </row>
    <row r="115" spans="1:21">
      <c r="A115" s="8" t="s">
        <v>1</v>
      </c>
      <c r="B115" s="34">
        <v>437200</v>
      </c>
      <c r="C115" s="34">
        <v>435500</v>
      </c>
      <c r="D115" s="34">
        <v>438700</v>
      </c>
      <c r="E115" s="33">
        <v>442700</v>
      </c>
      <c r="F115" s="33">
        <v>439800</v>
      </c>
      <c r="G115" s="33">
        <v>441911</v>
      </c>
      <c r="H115" s="33">
        <v>444683</v>
      </c>
      <c r="I115" s="33">
        <v>429908</v>
      </c>
      <c r="J115" s="33">
        <v>437991</v>
      </c>
      <c r="K115" s="33">
        <v>428878</v>
      </c>
      <c r="L115" s="33">
        <v>429212</v>
      </c>
      <c r="M115" s="33">
        <v>428253</v>
      </c>
      <c r="N115" s="33">
        <v>418304</v>
      </c>
      <c r="O115" s="33">
        <v>417558</v>
      </c>
      <c r="P115" s="9">
        <v>442400</v>
      </c>
      <c r="Q115" s="33">
        <f t="shared" ref="Q115:Q130" si="14">AVERAGE(B115:P115)</f>
        <v>434199.86666666664</v>
      </c>
      <c r="R115" s="45"/>
      <c r="S115" s="75">
        <f t="shared" ref="S115:S130" si="15">Q115/1000000</f>
        <v>0.43419986666666666</v>
      </c>
      <c r="U115" s="74">
        <f t="shared" si="13"/>
        <v>-0.83425032861614412</v>
      </c>
    </row>
    <row r="116" spans="1:21">
      <c r="A116" s="8" t="s">
        <v>2</v>
      </c>
      <c r="B116" s="34">
        <v>393800</v>
      </c>
      <c r="C116" s="34">
        <v>397300</v>
      </c>
      <c r="D116" s="34">
        <v>399900</v>
      </c>
      <c r="E116" s="33">
        <v>415800</v>
      </c>
      <c r="F116" s="33">
        <v>432374</v>
      </c>
      <c r="G116" s="33">
        <v>434126</v>
      </c>
      <c r="H116" s="33">
        <v>430936</v>
      </c>
      <c r="I116" s="33">
        <v>426565</v>
      </c>
      <c r="J116" s="33">
        <v>429291</v>
      </c>
      <c r="K116" s="33">
        <v>429464</v>
      </c>
      <c r="L116" s="33">
        <v>438643</v>
      </c>
      <c r="M116" s="33">
        <v>437292</v>
      </c>
      <c r="N116" s="33">
        <v>437268</v>
      </c>
      <c r="O116" s="33">
        <v>440995</v>
      </c>
      <c r="P116" s="9">
        <v>446200</v>
      </c>
      <c r="Q116" s="33">
        <f t="shared" si="14"/>
        <v>425996.93333333335</v>
      </c>
      <c r="R116" s="45"/>
      <c r="S116" s="75">
        <f t="shared" si="15"/>
        <v>0.42599693333333333</v>
      </c>
      <c r="U116" s="74">
        <f t="shared" si="13"/>
        <v>-0.85332313148672156</v>
      </c>
    </row>
    <row r="117" spans="1:21">
      <c r="A117" s="8" t="s">
        <v>3</v>
      </c>
      <c r="B117" s="34">
        <v>854200</v>
      </c>
      <c r="C117" s="34">
        <v>863400</v>
      </c>
      <c r="D117" s="34">
        <v>893300</v>
      </c>
      <c r="E117" s="33">
        <v>947000</v>
      </c>
      <c r="F117" s="33">
        <v>1020755</v>
      </c>
      <c r="G117" s="33">
        <v>1044570.9999999999</v>
      </c>
      <c r="H117" s="33">
        <v>1065296</v>
      </c>
      <c r="I117" s="33">
        <v>992549</v>
      </c>
      <c r="J117" s="33">
        <v>1034789</v>
      </c>
      <c r="K117" s="33">
        <v>1037531</v>
      </c>
      <c r="L117" s="33">
        <v>1043229</v>
      </c>
      <c r="M117" s="33">
        <v>1038724.9999999999</v>
      </c>
      <c r="N117" s="33">
        <v>1022730</v>
      </c>
      <c r="O117" s="33">
        <v>1021517</v>
      </c>
      <c r="P117" s="9">
        <v>731800</v>
      </c>
      <c r="Q117" s="33">
        <f t="shared" si="14"/>
        <v>974092.80000000005</v>
      </c>
      <c r="R117" s="45"/>
      <c r="S117" s="75">
        <f t="shared" si="15"/>
        <v>0.97409280000000009</v>
      </c>
      <c r="U117" s="74">
        <f t="shared" si="13"/>
        <v>-2.6248702670794506E-2</v>
      </c>
    </row>
    <row r="118" spans="1:21">
      <c r="A118" s="8" t="s">
        <v>4</v>
      </c>
      <c r="B118" s="34">
        <v>257100.00000000003</v>
      </c>
      <c r="C118" s="34">
        <v>257899.99999999997</v>
      </c>
      <c r="D118" s="34">
        <v>270800</v>
      </c>
      <c r="E118" s="33">
        <v>283200</v>
      </c>
      <c r="F118" s="33">
        <v>291786</v>
      </c>
      <c r="G118" s="33">
        <v>294280</v>
      </c>
      <c r="H118" s="33">
        <v>301300</v>
      </c>
      <c r="I118" s="33">
        <v>312029</v>
      </c>
      <c r="J118" s="33">
        <v>311769</v>
      </c>
      <c r="K118" s="33">
        <v>315711</v>
      </c>
      <c r="L118" s="33">
        <v>319697</v>
      </c>
      <c r="M118" s="33">
        <v>332351</v>
      </c>
      <c r="N118" s="33">
        <v>330749</v>
      </c>
      <c r="O118" s="33">
        <v>334048</v>
      </c>
      <c r="P118" s="9">
        <v>343300</v>
      </c>
      <c r="Q118" s="33">
        <f t="shared" si="14"/>
        <v>303734.66666666669</v>
      </c>
      <c r="R118" s="45"/>
      <c r="S118" s="75">
        <f t="shared" si="15"/>
        <v>0.30373466666666671</v>
      </c>
      <c r="U118" s="74">
        <f t="shared" si="13"/>
        <v>-1.1916007657112817</v>
      </c>
    </row>
    <row r="119" spans="1:21">
      <c r="A119" s="8" t="s">
        <v>5</v>
      </c>
      <c r="B119" s="34">
        <v>332100</v>
      </c>
      <c r="C119" s="34">
        <v>333900</v>
      </c>
      <c r="D119" s="34">
        <v>334400</v>
      </c>
      <c r="E119" s="33">
        <v>333500</v>
      </c>
      <c r="F119" s="33">
        <v>332519</v>
      </c>
      <c r="G119" s="33">
        <v>333379</v>
      </c>
      <c r="H119" s="33">
        <v>333566</v>
      </c>
      <c r="I119" s="33">
        <v>325977</v>
      </c>
      <c r="J119" s="33">
        <v>335944</v>
      </c>
      <c r="K119" s="33">
        <v>336605</v>
      </c>
      <c r="L119" s="33">
        <v>337404</v>
      </c>
      <c r="M119" s="33">
        <v>338012</v>
      </c>
      <c r="N119" s="33">
        <v>337861</v>
      </c>
      <c r="O119" s="33">
        <v>338693</v>
      </c>
      <c r="P119" s="9">
        <v>348300</v>
      </c>
      <c r="Q119" s="33">
        <f t="shared" si="14"/>
        <v>335477.33333333331</v>
      </c>
      <c r="R119" s="45"/>
      <c r="S119" s="75">
        <f t="shared" si="15"/>
        <v>0.33547733333333329</v>
      </c>
      <c r="U119" s="74">
        <f t="shared" si="13"/>
        <v>-1.0922008857071841</v>
      </c>
    </row>
    <row r="120" spans="1:21">
      <c r="A120" s="8" t="s">
        <v>6</v>
      </c>
      <c r="B120" s="34">
        <v>567100</v>
      </c>
      <c r="C120" s="34">
        <v>577000</v>
      </c>
      <c r="D120" s="34">
        <v>584700</v>
      </c>
      <c r="E120" s="33">
        <v>589400</v>
      </c>
      <c r="F120" s="33">
        <v>591912</v>
      </c>
      <c r="G120" s="33">
        <v>580974</v>
      </c>
      <c r="H120" s="33">
        <v>557720</v>
      </c>
      <c r="I120" s="33">
        <v>525210</v>
      </c>
      <c r="J120" s="33">
        <v>526725</v>
      </c>
      <c r="K120" s="33">
        <v>531067</v>
      </c>
      <c r="L120" s="33">
        <v>533010</v>
      </c>
      <c r="M120" s="33">
        <v>532485</v>
      </c>
      <c r="N120" s="33">
        <v>529489</v>
      </c>
      <c r="O120" s="33">
        <v>528332</v>
      </c>
      <c r="P120" s="9">
        <v>567700</v>
      </c>
      <c r="Q120" s="33">
        <f t="shared" si="14"/>
        <v>554854.93333333335</v>
      </c>
      <c r="R120" s="45"/>
      <c r="S120" s="75">
        <f t="shared" si="15"/>
        <v>0.55485493333333336</v>
      </c>
      <c r="U120" s="74">
        <f t="shared" si="13"/>
        <v>-0.58904858078315081</v>
      </c>
    </row>
    <row r="121" spans="1:21">
      <c r="A121" s="8" t="s">
        <v>7</v>
      </c>
      <c r="B121" s="34">
        <v>745300</v>
      </c>
      <c r="C121" s="34">
        <v>740500</v>
      </c>
      <c r="D121" s="34">
        <v>744900</v>
      </c>
      <c r="E121" s="33">
        <v>739200</v>
      </c>
      <c r="F121" s="33">
        <v>740939</v>
      </c>
      <c r="G121" s="33">
        <v>744110</v>
      </c>
      <c r="H121" s="33">
        <v>713087</v>
      </c>
      <c r="I121" s="33">
        <v>707701</v>
      </c>
      <c r="J121" s="33">
        <v>690642</v>
      </c>
      <c r="K121" s="33">
        <v>685000</v>
      </c>
      <c r="L121" s="33">
        <v>685354</v>
      </c>
      <c r="M121" s="33">
        <v>678947</v>
      </c>
      <c r="N121" s="33">
        <v>672465</v>
      </c>
      <c r="O121" s="33">
        <v>673392</v>
      </c>
      <c r="P121" s="9">
        <v>559600</v>
      </c>
      <c r="Q121" s="33">
        <f t="shared" si="14"/>
        <v>701409.1333333333</v>
      </c>
      <c r="R121" s="45"/>
      <c r="S121" s="75">
        <f t="shared" si="15"/>
        <v>0.70140913333333332</v>
      </c>
      <c r="U121" s="74">
        <f t="shared" si="13"/>
        <v>-0.35466391978494349</v>
      </c>
    </row>
    <row r="122" spans="1:21">
      <c r="A122" s="8" t="s">
        <v>8</v>
      </c>
      <c r="B122" s="34">
        <v>555600</v>
      </c>
      <c r="C122" s="34">
        <v>545000</v>
      </c>
      <c r="D122" s="34">
        <v>543500</v>
      </c>
      <c r="E122" s="33">
        <v>541800</v>
      </c>
      <c r="F122" s="33">
        <v>539558</v>
      </c>
      <c r="G122" s="33">
        <v>531075</v>
      </c>
      <c r="H122" s="33">
        <v>519960.00000000006</v>
      </c>
      <c r="I122" s="33">
        <v>510263</v>
      </c>
      <c r="J122" s="33">
        <v>519160.99999999994</v>
      </c>
      <c r="K122" s="33">
        <v>517097.99999999994</v>
      </c>
      <c r="L122" s="33">
        <v>512692</v>
      </c>
      <c r="M122" s="33">
        <v>508907</v>
      </c>
      <c r="N122" s="33">
        <v>490469</v>
      </c>
      <c r="O122" s="33">
        <v>499298</v>
      </c>
      <c r="P122" s="9">
        <v>477000</v>
      </c>
      <c r="Q122" s="33">
        <f t="shared" si="14"/>
        <v>520758.73333333334</v>
      </c>
      <c r="R122" s="45"/>
      <c r="S122" s="75">
        <f t="shared" si="15"/>
        <v>0.52075873333333333</v>
      </c>
      <c r="U122" s="74">
        <f t="shared" si="13"/>
        <v>-0.6524684282983727</v>
      </c>
    </row>
    <row r="123" spans="1:21">
      <c r="A123" s="8" t="s">
        <v>9</v>
      </c>
      <c r="B123" s="34">
        <v>305100</v>
      </c>
      <c r="C123" s="34">
        <v>307400</v>
      </c>
      <c r="D123" s="34">
        <v>317400</v>
      </c>
      <c r="E123" s="33">
        <v>337500</v>
      </c>
      <c r="F123" s="33">
        <v>347646</v>
      </c>
      <c r="G123" s="33">
        <v>352620</v>
      </c>
      <c r="H123" s="33">
        <v>327593</v>
      </c>
      <c r="I123" s="33">
        <v>324387</v>
      </c>
      <c r="J123" s="33">
        <v>345623</v>
      </c>
      <c r="K123" s="33">
        <v>347411</v>
      </c>
      <c r="L123" s="33">
        <v>349725</v>
      </c>
      <c r="M123" s="33">
        <v>349125</v>
      </c>
      <c r="N123" s="33">
        <v>346308</v>
      </c>
      <c r="O123" s="33">
        <v>347096</v>
      </c>
      <c r="P123" s="9">
        <v>347200</v>
      </c>
      <c r="Q123" s="33">
        <f t="shared" si="14"/>
        <v>336808.93333333335</v>
      </c>
      <c r="R123" s="45"/>
      <c r="S123" s="75">
        <f t="shared" si="15"/>
        <v>0.33680893333333334</v>
      </c>
      <c r="U123" s="74">
        <f t="shared" si="13"/>
        <v>-1.0882394728168725</v>
      </c>
    </row>
    <row r="124" spans="1:21">
      <c r="A124" s="8" t="s">
        <v>10</v>
      </c>
      <c r="B124" s="34">
        <v>201800</v>
      </c>
      <c r="C124" s="34">
        <v>209000</v>
      </c>
      <c r="D124" s="34">
        <v>219300</v>
      </c>
      <c r="E124" s="33">
        <v>241900</v>
      </c>
      <c r="F124" s="33">
        <v>271734</v>
      </c>
      <c r="G124" s="33">
        <v>274223</v>
      </c>
      <c r="H124" s="33">
        <v>261771.00000000003</v>
      </c>
      <c r="I124" s="33">
        <v>291869</v>
      </c>
      <c r="J124" s="33">
        <v>292325</v>
      </c>
      <c r="K124" s="33">
        <v>292038</v>
      </c>
      <c r="L124" s="33">
        <v>320213</v>
      </c>
      <c r="M124" s="33">
        <v>320873</v>
      </c>
      <c r="N124" s="33">
        <v>324225</v>
      </c>
      <c r="O124" s="33">
        <v>348590</v>
      </c>
      <c r="P124" s="9">
        <v>350500</v>
      </c>
      <c r="Q124" s="33">
        <f t="shared" si="14"/>
        <v>281357.40000000002</v>
      </c>
      <c r="R124" s="45"/>
      <c r="S124" s="75">
        <f t="shared" si="15"/>
        <v>0.28135740000000004</v>
      </c>
      <c r="U124" s="74">
        <f t="shared" si="13"/>
        <v>-1.2681295316893597</v>
      </c>
    </row>
    <row r="125" spans="1:21">
      <c r="A125" s="8" t="s">
        <v>68</v>
      </c>
      <c r="B125" s="34">
        <v>1118600</v>
      </c>
      <c r="C125" s="34">
        <v>1132700</v>
      </c>
      <c r="D125" s="34">
        <v>891249</v>
      </c>
      <c r="E125" s="33">
        <v>917598</v>
      </c>
      <c r="F125" s="33">
        <v>951210</v>
      </c>
      <c r="G125" s="33">
        <v>954078</v>
      </c>
      <c r="H125" s="33">
        <v>927586</v>
      </c>
      <c r="I125" s="33">
        <v>825534</v>
      </c>
      <c r="J125" s="33">
        <v>832065</v>
      </c>
      <c r="K125" s="33">
        <v>821600</v>
      </c>
      <c r="L125" s="33">
        <v>832043</v>
      </c>
      <c r="M125" s="33">
        <v>826189</v>
      </c>
      <c r="N125" s="33">
        <v>821824</v>
      </c>
      <c r="O125" s="33">
        <v>819394</v>
      </c>
      <c r="P125" s="9">
        <v>835200</v>
      </c>
      <c r="Q125" s="33">
        <f t="shared" si="14"/>
        <v>900458</v>
      </c>
      <c r="R125" s="45"/>
      <c r="S125" s="75">
        <f t="shared" si="15"/>
        <v>0.90045799999999998</v>
      </c>
      <c r="U125" s="74">
        <f t="shared" si="13"/>
        <v>-0.10485175620897619</v>
      </c>
    </row>
    <row r="126" spans="1:21">
      <c r="A126" s="8" t="s">
        <v>11</v>
      </c>
      <c r="B126" s="34">
        <v>431700</v>
      </c>
      <c r="C126" s="34">
        <v>433500</v>
      </c>
      <c r="D126" s="34">
        <v>440700</v>
      </c>
      <c r="E126" s="33">
        <v>441100</v>
      </c>
      <c r="F126" s="33">
        <v>439206</v>
      </c>
      <c r="G126" s="33">
        <v>440000</v>
      </c>
      <c r="H126" s="33">
        <v>441257</v>
      </c>
      <c r="I126" s="33">
        <v>426175</v>
      </c>
      <c r="J126" s="33">
        <v>421435</v>
      </c>
      <c r="K126" s="33">
        <v>416311</v>
      </c>
      <c r="L126" s="33">
        <v>412957</v>
      </c>
      <c r="M126" s="33">
        <v>409685</v>
      </c>
      <c r="N126" s="33">
        <v>406718</v>
      </c>
      <c r="O126" s="33">
        <v>403113</v>
      </c>
      <c r="P126" s="9">
        <v>403400</v>
      </c>
      <c r="Q126" s="33">
        <f t="shared" si="14"/>
        <v>424483.8</v>
      </c>
      <c r="R126" s="45"/>
      <c r="S126" s="75">
        <f t="shared" si="15"/>
        <v>0.42448379999999997</v>
      </c>
      <c r="U126" s="74">
        <f t="shared" si="13"/>
        <v>-0.8568814365031131</v>
      </c>
    </row>
    <row r="127" spans="1:21">
      <c r="A127" s="8" t="s">
        <v>12</v>
      </c>
      <c r="B127" s="34">
        <v>389800</v>
      </c>
      <c r="C127" s="34">
        <v>382400</v>
      </c>
      <c r="D127" s="34">
        <v>380100</v>
      </c>
      <c r="E127" s="33">
        <v>366200</v>
      </c>
      <c r="F127" s="33">
        <v>349558</v>
      </c>
      <c r="G127" s="33">
        <v>346876</v>
      </c>
      <c r="H127" s="33">
        <v>330251</v>
      </c>
      <c r="I127" s="33">
        <v>329631</v>
      </c>
      <c r="J127" s="33">
        <v>318934</v>
      </c>
      <c r="K127" s="33">
        <v>310312</v>
      </c>
      <c r="L127" s="33">
        <v>311329</v>
      </c>
      <c r="M127" s="33">
        <v>308259</v>
      </c>
      <c r="N127" s="33">
        <v>304371</v>
      </c>
      <c r="O127" s="33">
        <v>301936</v>
      </c>
      <c r="P127" s="9">
        <v>293300</v>
      </c>
      <c r="Q127" s="33">
        <f t="shared" si="14"/>
        <v>334883.8</v>
      </c>
      <c r="R127" s="45"/>
      <c r="S127" s="75">
        <f t="shared" si="15"/>
        <v>0.33488380000000001</v>
      </c>
      <c r="U127" s="74">
        <f t="shared" si="13"/>
        <v>-1.0939716730005242</v>
      </c>
    </row>
    <row r="128" spans="1:21">
      <c r="A128" s="8" t="s">
        <v>13</v>
      </c>
      <c r="B128" s="34">
        <v>765000</v>
      </c>
      <c r="C128" s="34">
        <v>764000</v>
      </c>
      <c r="D128" s="34">
        <v>769800</v>
      </c>
      <c r="E128" s="33">
        <v>757500</v>
      </c>
      <c r="F128" s="33">
        <v>748486</v>
      </c>
      <c r="G128" s="33">
        <v>745984</v>
      </c>
      <c r="H128" s="33">
        <v>740911</v>
      </c>
      <c r="I128" s="33">
        <v>715527</v>
      </c>
      <c r="J128" s="33">
        <v>719214</v>
      </c>
      <c r="K128" s="33">
        <v>722286</v>
      </c>
      <c r="L128" s="33">
        <v>713600</v>
      </c>
      <c r="M128" s="33">
        <v>715048</v>
      </c>
      <c r="N128" s="33">
        <v>703574</v>
      </c>
      <c r="O128" s="33">
        <v>701813</v>
      </c>
      <c r="P128" s="9">
        <v>384600</v>
      </c>
      <c r="Q128" s="33">
        <f t="shared" si="14"/>
        <v>711156.2</v>
      </c>
      <c r="R128" s="45"/>
      <c r="S128" s="75">
        <f t="shared" si="15"/>
        <v>0.71115619999999991</v>
      </c>
      <c r="U128" s="74">
        <f t="shared" si="13"/>
        <v>-0.34086318273068467</v>
      </c>
    </row>
    <row r="129" spans="1:21">
      <c r="A129" s="8" t="s">
        <v>14</v>
      </c>
      <c r="B129" s="34">
        <v>355200</v>
      </c>
      <c r="C129" s="34">
        <v>371500</v>
      </c>
      <c r="D129" s="34">
        <v>390700</v>
      </c>
      <c r="E129" s="33">
        <v>398600</v>
      </c>
      <c r="F129" s="33">
        <v>417574</v>
      </c>
      <c r="G129" s="33">
        <v>434470</v>
      </c>
      <c r="H129" s="33">
        <v>454551</v>
      </c>
      <c r="I129" s="33">
        <v>488834</v>
      </c>
      <c r="J129" s="33">
        <v>488715</v>
      </c>
      <c r="K129" s="33">
        <v>521491.99999999994</v>
      </c>
      <c r="L129" s="33">
        <v>531426</v>
      </c>
      <c r="M129" s="33">
        <v>578875</v>
      </c>
      <c r="N129" s="33">
        <v>590515</v>
      </c>
      <c r="O129" s="33">
        <v>608431</v>
      </c>
      <c r="P129" s="9">
        <v>655500</v>
      </c>
      <c r="Q129" s="33">
        <f t="shared" si="14"/>
        <v>485758.86666666664</v>
      </c>
      <c r="R129" s="45"/>
      <c r="S129" s="75">
        <f t="shared" si="15"/>
        <v>0.48575886666666662</v>
      </c>
      <c r="U129" s="74">
        <f t="shared" si="13"/>
        <v>-0.72204293733139457</v>
      </c>
    </row>
    <row r="130" spans="1:21">
      <c r="A130" s="8" t="s">
        <v>15</v>
      </c>
      <c r="B130" s="34">
        <v>705500</v>
      </c>
      <c r="C130" s="34">
        <v>706900</v>
      </c>
      <c r="D130" s="34">
        <v>722400</v>
      </c>
      <c r="E130" s="33">
        <v>740900</v>
      </c>
      <c r="F130" s="33">
        <v>774679</v>
      </c>
      <c r="G130" s="33">
        <v>787517</v>
      </c>
      <c r="H130" s="33">
        <v>809221</v>
      </c>
      <c r="I130" s="33">
        <v>885004</v>
      </c>
      <c r="J130" s="33">
        <v>916269</v>
      </c>
      <c r="K130" s="33">
        <v>939190</v>
      </c>
      <c r="L130" s="33">
        <v>961673</v>
      </c>
      <c r="M130" s="33">
        <v>986569</v>
      </c>
      <c r="N130" s="33">
        <v>1011507</v>
      </c>
      <c r="O130" s="33">
        <v>1036286</v>
      </c>
      <c r="P130" s="9">
        <v>1051000</v>
      </c>
      <c r="Q130" s="33">
        <f t="shared" si="14"/>
        <v>868974.33333333337</v>
      </c>
      <c r="R130" s="45"/>
      <c r="S130" s="75">
        <f t="shared" si="15"/>
        <v>0.8689743333333334</v>
      </c>
      <c r="U130" s="74">
        <f t="shared" si="13"/>
        <v>-0.14044169001791609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6A10-1FD2-2D4D-A3B6-1C7D87FCB125}">
  <dimension ref="A1:U130"/>
  <sheetViews>
    <sheetView topLeftCell="F56" zoomScaleNormal="100" workbookViewId="0">
      <selection activeCell="Q70" sqref="Q70:Q86"/>
    </sheetView>
  </sheetViews>
  <sheetFormatPr baseColWidth="10" defaultRowHeight="16"/>
  <sheetData>
    <row r="1" spans="1:21" ht="18">
      <c r="A1" s="3" t="s">
        <v>69</v>
      </c>
      <c r="B1" s="38"/>
      <c r="C1" s="1"/>
      <c r="D1" s="1"/>
      <c r="E1" s="1"/>
      <c r="F1" s="1" t="s">
        <v>57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1">
      <c r="A2" s="23"/>
      <c r="B2" s="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1" ht="17">
      <c r="A3" s="4"/>
      <c r="B3" s="4" t="s">
        <v>58</v>
      </c>
      <c r="C3" s="4" t="s">
        <v>59</v>
      </c>
      <c r="D3" s="4" t="s">
        <v>44</v>
      </c>
      <c r="E3" s="24" t="s">
        <v>45</v>
      </c>
      <c r="F3" s="4" t="s">
        <v>46</v>
      </c>
      <c r="G3" s="4" t="s">
        <v>47</v>
      </c>
      <c r="H3" s="4" t="s">
        <v>48</v>
      </c>
      <c r="I3" s="24" t="s">
        <v>49</v>
      </c>
      <c r="J3" s="24" t="s">
        <v>50</v>
      </c>
      <c r="K3" s="5" t="s">
        <v>51</v>
      </c>
      <c r="L3" s="5" t="s">
        <v>52</v>
      </c>
      <c r="M3" s="5" t="s">
        <v>53</v>
      </c>
      <c r="N3" s="5" t="s">
        <v>54</v>
      </c>
      <c r="O3" s="5" t="s">
        <v>16</v>
      </c>
      <c r="P3" s="6" t="s">
        <v>55</v>
      </c>
      <c r="Q3" s="5" t="s">
        <v>56</v>
      </c>
    </row>
    <row r="4" spans="1:21">
      <c r="A4" s="46" t="s">
        <v>0</v>
      </c>
      <c r="B4" s="25">
        <v>1024.2</v>
      </c>
      <c r="C4" s="25">
        <v>1056.8</v>
      </c>
      <c r="D4" s="25">
        <v>1336.5</v>
      </c>
      <c r="E4" s="47">
        <v>1705.8</v>
      </c>
      <c r="F4" s="25">
        <v>1847.1</v>
      </c>
      <c r="G4" s="25">
        <v>2113.1999999999998</v>
      </c>
      <c r="H4" s="25">
        <v>2294.8000000000002</v>
      </c>
      <c r="I4" s="9">
        <v>2330.4</v>
      </c>
      <c r="J4" s="9">
        <v>2639.7</v>
      </c>
      <c r="K4" s="9">
        <v>3014.7</v>
      </c>
      <c r="L4" s="9">
        <v>3382.5</v>
      </c>
      <c r="M4" s="25">
        <v>3755.7</v>
      </c>
      <c r="N4" s="9">
        <v>3766.8</v>
      </c>
      <c r="O4" s="9">
        <v>4417.8999999999996</v>
      </c>
      <c r="P4" s="9">
        <v>5284.7</v>
      </c>
      <c r="Q4" s="48">
        <f>AVERAGE(B4:P4)</f>
        <v>2664.72</v>
      </c>
      <c r="S4" s="74">
        <f>Q4/1000</f>
        <v>2.66472</v>
      </c>
      <c r="U4" s="74">
        <f t="shared" ref="U4:U20" si="0">LN(S4)</f>
        <v>0.9800989864319829</v>
      </c>
    </row>
    <row r="5" spans="1:21">
      <c r="A5" s="8" t="s">
        <v>1</v>
      </c>
      <c r="B5" s="25">
        <v>641.4</v>
      </c>
      <c r="C5" s="25">
        <v>712.1</v>
      </c>
      <c r="D5" s="25">
        <v>798.1</v>
      </c>
      <c r="E5" s="47">
        <v>1099</v>
      </c>
      <c r="F5" s="25">
        <v>1092.8</v>
      </c>
      <c r="G5" s="25">
        <v>1301.7</v>
      </c>
      <c r="H5" s="25">
        <v>1427.9</v>
      </c>
      <c r="I5" s="9">
        <v>1513.9</v>
      </c>
      <c r="J5" s="9">
        <v>1818.2</v>
      </c>
      <c r="K5" s="9">
        <v>2107.8000000000002</v>
      </c>
      <c r="L5" s="9">
        <v>2301</v>
      </c>
      <c r="M5" s="25">
        <v>2621.1999999999998</v>
      </c>
      <c r="N5" s="9">
        <v>3102.5</v>
      </c>
      <c r="O5" s="9">
        <v>3644.9</v>
      </c>
      <c r="P5" s="26">
        <v>4428.5</v>
      </c>
      <c r="Q5" s="48">
        <f t="shared" ref="Q5:Q20" si="1">AVERAGE(B5:P5)</f>
        <v>1907.4000000000003</v>
      </c>
      <c r="R5" s="22"/>
      <c r="S5" s="74">
        <f t="shared" ref="S5:S20" si="2">Q5/1000</f>
        <v>1.9074000000000004</v>
      </c>
      <c r="U5" s="74">
        <f t="shared" si="0"/>
        <v>0.64574105816267524</v>
      </c>
    </row>
    <row r="6" spans="1:21">
      <c r="A6" s="8" t="s">
        <v>2</v>
      </c>
      <c r="B6" s="25">
        <v>1231.0999999999999</v>
      </c>
      <c r="C6" s="25">
        <v>1122.9000000000001</v>
      </c>
      <c r="D6" s="25">
        <v>1523.1</v>
      </c>
      <c r="E6" s="47">
        <v>1998.2</v>
      </c>
      <c r="F6" s="25">
        <v>2220.6999999999998</v>
      </c>
      <c r="G6" s="25">
        <v>2298.1</v>
      </c>
      <c r="H6" s="25">
        <v>2361.4</v>
      </c>
      <c r="I6" s="9">
        <v>2135</v>
      </c>
      <c r="J6" s="9">
        <v>2464.9</v>
      </c>
      <c r="K6" s="9">
        <v>2749.7</v>
      </c>
      <c r="L6" s="9">
        <v>3136</v>
      </c>
      <c r="M6" s="25">
        <v>3396.8</v>
      </c>
      <c r="N6" s="9">
        <v>3329.8</v>
      </c>
      <c r="O6" s="9">
        <v>3982.1</v>
      </c>
      <c r="P6" s="26">
        <v>4788.2</v>
      </c>
      <c r="Q6" s="48">
        <f t="shared" si="1"/>
        <v>2582.5333333333333</v>
      </c>
      <c r="R6" s="22"/>
      <c r="S6" s="74">
        <f t="shared" si="2"/>
        <v>2.5825333333333331</v>
      </c>
      <c r="U6" s="74">
        <f t="shared" si="0"/>
        <v>0.94877082931783729</v>
      </c>
    </row>
    <row r="7" spans="1:21">
      <c r="A7" s="8" t="s">
        <v>3</v>
      </c>
      <c r="B7" s="25">
        <v>409.2</v>
      </c>
      <c r="C7" s="25">
        <v>424.8</v>
      </c>
      <c r="D7" s="25">
        <v>537.9</v>
      </c>
      <c r="E7" s="47">
        <v>654</v>
      </c>
      <c r="F7" s="25">
        <v>751</v>
      </c>
      <c r="G7" s="25">
        <v>886.2</v>
      </c>
      <c r="H7" s="25">
        <v>1002.1</v>
      </c>
      <c r="I7" s="9">
        <v>1021.3</v>
      </c>
      <c r="J7" s="9">
        <v>1114.2</v>
      </c>
      <c r="K7" s="9">
        <v>1235.8</v>
      </c>
      <c r="L7" s="9">
        <v>1378.2</v>
      </c>
      <c r="M7" s="25">
        <v>1585.5</v>
      </c>
      <c r="N7" s="9">
        <v>1805.2</v>
      </c>
      <c r="O7" s="9">
        <v>2201.1</v>
      </c>
      <c r="P7" s="26">
        <v>2860</v>
      </c>
      <c r="Q7" s="48">
        <f t="shared" si="1"/>
        <v>1191.0999999999999</v>
      </c>
      <c r="R7" s="22"/>
      <c r="S7" s="74">
        <f t="shared" si="2"/>
        <v>1.1910999999999998</v>
      </c>
      <c r="U7" s="74">
        <f t="shared" si="0"/>
        <v>0.17487724990471804</v>
      </c>
    </row>
    <row r="8" spans="1:21">
      <c r="A8" s="8" t="s">
        <v>4</v>
      </c>
      <c r="B8" s="25">
        <v>3626</v>
      </c>
      <c r="C8" s="25">
        <v>3824.7</v>
      </c>
      <c r="D8" s="25">
        <v>5401</v>
      </c>
      <c r="E8" s="47">
        <v>7054</v>
      </c>
      <c r="F8" s="25">
        <v>6580.7</v>
      </c>
      <c r="G8" s="25">
        <v>7083</v>
      </c>
      <c r="H8" s="25">
        <v>7553.3</v>
      </c>
      <c r="I8" s="9">
        <v>7171.2</v>
      </c>
      <c r="J8" s="9">
        <v>8653.1</v>
      </c>
      <c r="K8" s="9">
        <v>9685.1</v>
      </c>
      <c r="L8" s="9">
        <v>12465.5</v>
      </c>
      <c r="M8" s="25">
        <v>14584.4</v>
      </c>
      <c r="N8" s="9">
        <v>11883.2</v>
      </c>
      <c r="O8" s="9">
        <v>16037.4</v>
      </c>
      <c r="P8" s="26">
        <v>19974.099999999999</v>
      </c>
      <c r="Q8" s="48">
        <f t="shared" si="1"/>
        <v>9438.4466666666649</v>
      </c>
      <c r="R8" s="22">
        <f>Q8/3</f>
        <v>3146.1488888888885</v>
      </c>
      <c r="S8" s="74">
        <f t="shared" si="2"/>
        <v>9.4384466666666658</v>
      </c>
      <c r="U8" s="74">
        <f t="shared" si="0"/>
        <v>2.2447914185952991</v>
      </c>
    </row>
    <row r="9" spans="1:21">
      <c r="A9" s="8" t="s">
        <v>5</v>
      </c>
      <c r="B9" s="25">
        <v>1339.4</v>
      </c>
      <c r="C9" s="25">
        <v>1369.1</v>
      </c>
      <c r="D9" s="25">
        <v>1730.4</v>
      </c>
      <c r="E9" s="47">
        <v>2225.4</v>
      </c>
      <c r="F9" s="25">
        <v>2865.9</v>
      </c>
      <c r="G9" s="25">
        <v>2868.1</v>
      </c>
      <c r="H9" s="25">
        <v>3170.4</v>
      </c>
      <c r="I9" s="9">
        <v>2699.6</v>
      </c>
      <c r="J9" s="9">
        <v>3179.8</v>
      </c>
      <c r="K9" s="9">
        <v>3628.4</v>
      </c>
      <c r="L9" s="9">
        <v>4295.8</v>
      </c>
      <c r="M9" s="25">
        <v>4501.2</v>
      </c>
      <c r="N9" s="9">
        <v>4151.2</v>
      </c>
      <c r="O9" s="9">
        <v>5323.6</v>
      </c>
      <c r="P9" s="26">
        <v>6467.8</v>
      </c>
      <c r="Q9" s="48">
        <f t="shared" si="1"/>
        <v>3321.0733333333333</v>
      </c>
      <c r="R9" s="22"/>
      <c r="S9" s="74">
        <f t="shared" si="2"/>
        <v>3.3210733333333331</v>
      </c>
      <c r="U9" s="74">
        <f t="shared" si="0"/>
        <v>1.2002880238531108</v>
      </c>
    </row>
    <row r="10" spans="1:21">
      <c r="A10" s="8" t="s">
        <v>6</v>
      </c>
      <c r="B10" s="25">
        <v>316.89999999999998</v>
      </c>
      <c r="C10" s="25">
        <v>339.5</v>
      </c>
      <c r="D10" s="25">
        <v>429</v>
      </c>
      <c r="E10" s="47">
        <v>602.79999999999995</v>
      </c>
      <c r="F10" s="25">
        <v>715.4</v>
      </c>
      <c r="G10" s="25">
        <v>813.9</v>
      </c>
      <c r="H10" s="25">
        <v>897.4</v>
      </c>
      <c r="I10" s="9">
        <v>918.3</v>
      </c>
      <c r="J10" s="9">
        <v>1062.7</v>
      </c>
      <c r="K10" s="9">
        <v>1210</v>
      </c>
      <c r="L10" s="9">
        <v>1366.3</v>
      </c>
      <c r="M10" s="25">
        <v>1518.8</v>
      </c>
      <c r="N10" s="9">
        <v>1675.8</v>
      </c>
      <c r="O10" s="9">
        <v>1976.9</v>
      </c>
      <c r="P10" s="26">
        <v>2212.1999999999998</v>
      </c>
      <c r="Q10" s="48">
        <f t="shared" si="1"/>
        <v>1070.3933333333332</v>
      </c>
      <c r="R10" s="22"/>
      <c r="S10" s="74">
        <f t="shared" si="2"/>
        <v>1.0703933333333333</v>
      </c>
      <c r="U10" s="74">
        <f t="shared" si="0"/>
        <v>6.8026182171136138E-2</v>
      </c>
    </row>
    <row r="11" spans="1:21">
      <c r="A11" s="8" t="s">
        <v>7</v>
      </c>
      <c r="B11" s="25">
        <v>1088.4000000000001</v>
      </c>
      <c r="C11" s="25">
        <v>1127.8</v>
      </c>
      <c r="D11" s="25">
        <v>1387.7</v>
      </c>
      <c r="E11" s="47">
        <v>1762.1</v>
      </c>
      <c r="F11" s="25">
        <v>1798.5</v>
      </c>
      <c r="G11" s="25">
        <v>1919.1</v>
      </c>
      <c r="H11" s="25">
        <v>2110.6</v>
      </c>
      <c r="I11" s="9">
        <v>2248.9</v>
      </c>
      <c r="J11" s="9">
        <v>2682.6</v>
      </c>
      <c r="K11" s="9">
        <v>3100.9</v>
      </c>
      <c r="L11" s="9">
        <v>3431.9</v>
      </c>
      <c r="M11" s="25">
        <v>3911</v>
      </c>
      <c r="N11" s="9">
        <v>4431.7</v>
      </c>
      <c r="O11" s="9">
        <v>5419.3</v>
      </c>
      <c r="P11" s="26">
        <v>6412.9</v>
      </c>
      <c r="Q11" s="48">
        <f t="shared" si="1"/>
        <v>2855.5600000000004</v>
      </c>
      <c r="R11" s="22"/>
      <c r="S11" s="74">
        <f t="shared" si="2"/>
        <v>2.8555600000000005</v>
      </c>
      <c r="U11" s="74">
        <f t="shared" si="0"/>
        <v>1.0492679709839772</v>
      </c>
    </row>
    <row r="12" spans="1:21">
      <c r="A12" s="8" t="s">
        <v>8</v>
      </c>
      <c r="B12" s="25">
        <v>789.7</v>
      </c>
      <c r="C12" s="25">
        <v>818.1</v>
      </c>
      <c r="D12" s="25">
        <v>970.8</v>
      </c>
      <c r="E12" s="47">
        <v>1288.2</v>
      </c>
      <c r="F12" s="25">
        <v>1308</v>
      </c>
      <c r="G12" s="25">
        <v>1531.5</v>
      </c>
      <c r="H12" s="25">
        <v>1583.1</v>
      </c>
      <c r="I12" s="9">
        <v>1561.7</v>
      </c>
      <c r="J12" s="9">
        <v>1727</v>
      </c>
      <c r="K12" s="9">
        <v>2108.9</v>
      </c>
      <c r="L12" s="9">
        <v>2367</v>
      </c>
      <c r="M12" s="25">
        <v>2815.9</v>
      </c>
      <c r="N12" s="9">
        <v>3314.5</v>
      </c>
      <c r="O12" s="9">
        <v>4082.8</v>
      </c>
      <c r="P12" s="26">
        <v>5014.7</v>
      </c>
      <c r="Q12" s="48">
        <f t="shared" si="1"/>
        <v>2085.46</v>
      </c>
      <c r="R12" s="22"/>
      <c r="S12" s="74">
        <f t="shared" si="2"/>
        <v>2.0854599999999999</v>
      </c>
      <c r="U12" s="74">
        <f t="shared" si="0"/>
        <v>0.73498945441817809</v>
      </c>
    </row>
    <row r="13" spans="1:21">
      <c r="A13" s="8" t="s">
        <v>9</v>
      </c>
      <c r="B13" s="25">
        <v>1075.9000000000001</v>
      </c>
      <c r="C13" s="25">
        <v>938.8</v>
      </c>
      <c r="D13" s="25">
        <v>1236.5</v>
      </c>
      <c r="E13" s="47">
        <v>1611.9</v>
      </c>
      <c r="F13" s="25">
        <v>1764.4</v>
      </c>
      <c r="G13" s="25">
        <v>1983</v>
      </c>
      <c r="H13" s="25">
        <v>1848.9</v>
      </c>
      <c r="I13" s="9">
        <v>1534.3</v>
      </c>
      <c r="J13" s="9">
        <v>1701.1</v>
      </c>
      <c r="K13" s="9">
        <v>1839</v>
      </c>
      <c r="L13" s="9">
        <v>2088.1</v>
      </c>
      <c r="M13" s="25">
        <v>2289.1</v>
      </c>
      <c r="N13" s="9">
        <v>2033.3</v>
      </c>
      <c r="O13" s="9">
        <v>2345.1</v>
      </c>
      <c r="P13" s="26">
        <v>2917.9</v>
      </c>
      <c r="Q13" s="48">
        <f t="shared" si="1"/>
        <v>1813.8199999999997</v>
      </c>
      <c r="R13" s="22"/>
      <c r="S13" s="74">
        <f t="shared" si="2"/>
        <v>1.8138199999999998</v>
      </c>
      <c r="U13" s="74">
        <f t="shared" si="0"/>
        <v>0.59543511854458142</v>
      </c>
    </row>
    <row r="14" spans="1:21">
      <c r="A14" s="8" t="s">
        <v>10</v>
      </c>
      <c r="B14" s="25">
        <v>2631</v>
      </c>
      <c r="C14" s="25">
        <v>2248.8000000000002</v>
      </c>
      <c r="D14" s="25">
        <v>2890.4</v>
      </c>
      <c r="E14" s="47">
        <v>3491.7</v>
      </c>
      <c r="F14" s="25">
        <v>3169.8</v>
      </c>
      <c r="G14" s="25">
        <v>3592.7</v>
      </c>
      <c r="H14" s="25">
        <v>4049.6</v>
      </c>
      <c r="I14" s="9">
        <v>3443</v>
      </c>
      <c r="J14" s="9">
        <v>3880.6</v>
      </c>
      <c r="K14" s="9">
        <v>5058.8</v>
      </c>
      <c r="L14" s="9">
        <v>5682.5</v>
      </c>
      <c r="M14" s="25">
        <v>5352.8</v>
      </c>
      <c r="N14" s="9">
        <v>4335.1000000000004</v>
      </c>
      <c r="O14" s="9">
        <v>4966.5</v>
      </c>
      <c r="P14" s="26">
        <v>5817.8</v>
      </c>
      <c r="Q14" s="48">
        <f t="shared" si="1"/>
        <v>4040.7400000000002</v>
      </c>
      <c r="R14" s="22"/>
      <c r="S14" s="74">
        <f t="shared" si="2"/>
        <v>4.0407400000000004</v>
      </c>
      <c r="U14" s="74">
        <f t="shared" si="0"/>
        <v>1.3964278435166226</v>
      </c>
    </row>
    <row r="15" spans="1:21">
      <c r="A15" s="8" t="s">
        <v>68</v>
      </c>
      <c r="B15" s="25">
        <v>310.39999999999998</v>
      </c>
      <c r="C15" s="25">
        <v>372.1</v>
      </c>
      <c r="D15" s="25">
        <v>474.6</v>
      </c>
      <c r="E15" s="47">
        <v>583</v>
      </c>
      <c r="F15" s="25">
        <v>705.1</v>
      </c>
      <c r="G15" s="25">
        <v>791.3</v>
      </c>
      <c r="H15" s="25">
        <v>868.9</v>
      </c>
      <c r="I15" s="9">
        <v>891.1</v>
      </c>
      <c r="J15" s="9">
        <v>975.3</v>
      </c>
      <c r="K15" s="9">
        <v>1097.7</v>
      </c>
      <c r="L15" s="9">
        <v>838.2</v>
      </c>
      <c r="M15" s="25">
        <v>1008.1</v>
      </c>
      <c r="N15" s="9">
        <v>1174.2</v>
      </c>
      <c r="O15" s="9">
        <v>1363.1</v>
      </c>
      <c r="P15" s="26">
        <v>1671.8</v>
      </c>
      <c r="Q15" s="48">
        <f t="shared" si="1"/>
        <v>874.99333333333334</v>
      </c>
      <c r="R15" s="22"/>
      <c r="S15" s="74">
        <f t="shared" si="2"/>
        <v>0.87499333333333329</v>
      </c>
      <c r="U15" s="74">
        <f t="shared" si="0"/>
        <v>-0.1335390117011668</v>
      </c>
    </row>
    <row r="16" spans="1:21">
      <c r="A16" s="8" t="s">
        <v>11</v>
      </c>
      <c r="B16" s="25">
        <v>1153.5999999999999</v>
      </c>
      <c r="C16" s="25">
        <v>1160.8</v>
      </c>
      <c r="D16" s="25">
        <v>1384.6</v>
      </c>
      <c r="E16" s="47">
        <v>2036.7</v>
      </c>
      <c r="F16" s="25">
        <v>2032.8</v>
      </c>
      <c r="G16" s="25">
        <v>2341.3000000000002</v>
      </c>
      <c r="H16" s="25">
        <v>2315.8000000000002</v>
      </c>
      <c r="I16" s="9">
        <v>2293.1</v>
      </c>
      <c r="J16" s="9">
        <v>2606.9</v>
      </c>
      <c r="K16" s="9">
        <v>3134.3</v>
      </c>
      <c r="L16" s="9">
        <v>3641.1</v>
      </c>
      <c r="M16" s="25">
        <v>4023.3</v>
      </c>
      <c r="N16" s="9">
        <v>4151.3999999999996</v>
      </c>
      <c r="O16" s="9">
        <v>5185</v>
      </c>
      <c r="P16" s="26">
        <v>5685.8</v>
      </c>
      <c r="Q16" s="48">
        <f t="shared" si="1"/>
        <v>2876.4333333333334</v>
      </c>
      <c r="R16" s="22"/>
      <c r="S16" s="74">
        <f t="shared" si="2"/>
        <v>2.8764333333333334</v>
      </c>
      <c r="U16" s="74">
        <f t="shared" si="0"/>
        <v>1.0565511007388289</v>
      </c>
    </row>
    <row r="17" spans="1:21">
      <c r="A17" s="8" t="s">
        <v>12</v>
      </c>
      <c r="B17" s="25">
        <v>619</v>
      </c>
      <c r="C17" s="25">
        <v>678.7</v>
      </c>
      <c r="D17" s="25">
        <v>790.1</v>
      </c>
      <c r="E17" s="47">
        <v>1136.7</v>
      </c>
      <c r="F17" s="25">
        <v>1168.5999999999999</v>
      </c>
      <c r="G17" s="25">
        <v>1298.2</v>
      </c>
      <c r="H17" s="25">
        <v>1386.6</v>
      </c>
      <c r="I17" s="9">
        <v>1467.2</v>
      </c>
      <c r="J17" s="9">
        <v>1621</v>
      </c>
      <c r="K17" s="9">
        <v>1985.9</v>
      </c>
      <c r="L17" s="9">
        <v>2177.6999999999998</v>
      </c>
      <c r="M17" s="25">
        <v>2505.9</v>
      </c>
      <c r="N17" s="9">
        <v>2877.7</v>
      </c>
      <c r="O17" s="9">
        <v>3313.8</v>
      </c>
      <c r="P17" s="26">
        <v>4097.7</v>
      </c>
      <c r="Q17" s="48">
        <f t="shared" si="1"/>
        <v>1808.3200000000002</v>
      </c>
      <c r="R17" s="22"/>
      <c r="S17" s="74">
        <f t="shared" si="2"/>
        <v>1.8083200000000001</v>
      </c>
      <c r="U17" s="74">
        <f t="shared" si="0"/>
        <v>0.5923982374593415</v>
      </c>
    </row>
    <row r="18" spans="1:21">
      <c r="A18" s="8" t="s">
        <v>13</v>
      </c>
      <c r="B18" s="25">
        <v>627.9</v>
      </c>
      <c r="C18" s="25">
        <v>703.9</v>
      </c>
      <c r="D18" s="25">
        <v>889.8</v>
      </c>
      <c r="E18" s="47">
        <v>1160.9000000000001</v>
      </c>
      <c r="F18" s="25">
        <v>1299.0999999999999</v>
      </c>
      <c r="G18" s="25">
        <v>1480.1</v>
      </c>
      <c r="H18" s="25">
        <v>1636.7</v>
      </c>
      <c r="I18" s="9">
        <v>1656.2</v>
      </c>
      <c r="J18" s="9">
        <v>2006</v>
      </c>
      <c r="K18" s="9">
        <v>2289.5</v>
      </c>
      <c r="L18" s="9">
        <v>2598.8000000000002</v>
      </c>
      <c r="M18" s="25">
        <v>2929.2</v>
      </c>
      <c r="N18" s="9">
        <v>3369.8</v>
      </c>
      <c r="O18" s="9">
        <v>3723</v>
      </c>
      <c r="P18" s="26">
        <v>5353.8</v>
      </c>
      <c r="Q18" s="48">
        <f t="shared" si="1"/>
        <v>2114.98</v>
      </c>
      <c r="R18" s="22"/>
      <c r="S18" s="74">
        <f t="shared" si="2"/>
        <v>2.1149800000000001</v>
      </c>
      <c r="U18" s="74">
        <f t="shared" si="0"/>
        <v>0.74904535618875512</v>
      </c>
    </row>
    <row r="19" spans="1:21">
      <c r="A19" s="8" t="s">
        <v>14</v>
      </c>
      <c r="B19" s="25">
        <v>2080.1999999999998</v>
      </c>
      <c r="C19" s="25">
        <v>2189.4</v>
      </c>
      <c r="D19" s="25">
        <v>2635.7</v>
      </c>
      <c r="E19" s="47">
        <v>2980.3</v>
      </c>
      <c r="F19" s="25">
        <v>3479.6</v>
      </c>
      <c r="G19" s="25">
        <v>4374.3</v>
      </c>
      <c r="H19" s="25">
        <v>4821.6000000000004</v>
      </c>
      <c r="I19" s="9">
        <v>5574.8</v>
      </c>
      <c r="J19" s="9">
        <v>5273.3</v>
      </c>
      <c r="K19" s="9">
        <v>5766.2</v>
      </c>
      <c r="L19" s="9">
        <v>6359.5</v>
      </c>
      <c r="M19" s="25">
        <v>7075.8</v>
      </c>
      <c r="N19" s="9">
        <v>6873.6</v>
      </c>
      <c r="O19" s="9">
        <v>7361.9</v>
      </c>
      <c r="P19" s="26">
        <v>8053.9</v>
      </c>
      <c r="Q19" s="48">
        <f t="shared" si="1"/>
        <v>4993.3399999999992</v>
      </c>
      <c r="R19" s="22"/>
      <c r="S19" s="74">
        <f t="shared" si="2"/>
        <v>4.993339999999999</v>
      </c>
      <c r="U19" s="74">
        <f t="shared" si="0"/>
        <v>1.6081050245335569</v>
      </c>
    </row>
    <row r="20" spans="1:21">
      <c r="A20" s="8" t="s">
        <v>15</v>
      </c>
      <c r="B20" s="25">
        <v>2193.1999999999998</v>
      </c>
      <c r="C20" s="25">
        <v>2306.8000000000002</v>
      </c>
      <c r="D20" s="25">
        <v>2797.3</v>
      </c>
      <c r="E20" s="47">
        <v>3394.8</v>
      </c>
      <c r="F20" s="25">
        <v>3908</v>
      </c>
      <c r="G20" s="25">
        <v>4779.1000000000004</v>
      </c>
      <c r="H20" s="25">
        <v>5021</v>
      </c>
      <c r="I20" s="9">
        <v>5439.6</v>
      </c>
      <c r="J20" s="9">
        <v>6138.5</v>
      </c>
      <c r="K20" s="9">
        <v>6694.2</v>
      </c>
      <c r="L20" s="9">
        <v>6635.9</v>
      </c>
      <c r="M20" s="25">
        <v>7183.9</v>
      </c>
      <c r="N20" s="9">
        <v>6913</v>
      </c>
      <c r="O20" s="9">
        <v>7495.8</v>
      </c>
      <c r="P20" s="26">
        <v>8985.6</v>
      </c>
      <c r="Q20" s="48">
        <f t="shared" si="1"/>
        <v>5325.7800000000007</v>
      </c>
      <c r="R20" s="22"/>
      <c r="S20" s="74">
        <f t="shared" si="2"/>
        <v>5.3257800000000008</v>
      </c>
      <c r="U20" s="74">
        <f t="shared" si="0"/>
        <v>1.6725591797417458</v>
      </c>
    </row>
    <row r="21" spans="1:21">
      <c r="A21" s="13"/>
      <c r="B21" s="19"/>
      <c r="C21" s="19"/>
      <c r="D21" s="19"/>
      <c r="E21" s="20"/>
      <c r="F21" s="19"/>
      <c r="G21" s="19"/>
      <c r="H21" s="19"/>
      <c r="I21" s="14"/>
      <c r="J21" s="14"/>
      <c r="K21" s="14"/>
      <c r="L21" s="14"/>
      <c r="M21" s="19"/>
      <c r="N21" s="14"/>
      <c r="O21" s="14"/>
      <c r="P21" s="21"/>
      <c r="Q21" s="14"/>
      <c r="R21" s="18"/>
    </row>
    <row r="23" spans="1:21" ht="18">
      <c r="A23" s="73" t="s">
        <v>132</v>
      </c>
      <c r="B23" s="1"/>
      <c r="C23" s="1"/>
      <c r="D23" s="1"/>
      <c r="E23" s="1"/>
      <c r="F23" s="1"/>
      <c r="G23" s="27" t="s">
        <v>17</v>
      </c>
      <c r="H23" s="1"/>
    </row>
    <row r="24" spans="1:21">
      <c r="I24" s="1"/>
      <c r="J24" s="1"/>
      <c r="K24" s="1"/>
      <c r="L24" s="1"/>
      <c r="M24" s="1"/>
      <c r="N24" s="1"/>
      <c r="O24" s="1"/>
      <c r="P24" s="1"/>
      <c r="Q24" s="1"/>
    </row>
    <row r="25" spans="1:21" ht="17">
      <c r="A25" s="4"/>
      <c r="B25" s="28">
        <v>2008</v>
      </c>
      <c r="C25" s="28">
        <v>2009</v>
      </c>
      <c r="D25" s="28">
        <v>2010</v>
      </c>
      <c r="E25" s="28">
        <v>2011</v>
      </c>
      <c r="F25" s="28">
        <v>2012</v>
      </c>
      <c r="G25" s="28">
        <v>2013</v>
      </c>
      <c r="H25" s="28">
        <v>2014</v>
      </c>
      <c r="I25" s="28">
        <v>2015</v>
      </c>
      <c r="J25" s="28">
        <v>2016</v>
      </c>
      <c r="K25" s="28">
        <v>2017</v>
      </c>
      <c r="L25" s="28">
        <v>2018</v>
      </c>
      <c r="M25" s="28">
        <v>2019</v>
      </c>
      <c r="N25" s="28">
        <v>2020</v>
      </c>
      <c r="O25" s="28">
        <v>2021</v>
      </c>
      <c r="P25" s="28">
        <v>2022</v>
      </c>
      <c r="Q25" s="5" t="s">
        <v>56</v>
      </c>
      <c r="R25" s="18"/>
    </row>
    <row r="26" spans="1:21">
      <c r="A26" s="46" t="s">
        <v>0</v>
      </c>
      <c r="B26" s="17">
        <v>196685</v>
      </c>
      <c r="C26" s="17">
        <v>176016</v>
      </c>
      <c r="D26" s="17">
        <v>161964</v>
      </c>
      <c r="E26" s="17">
        <v>160934</v>
      </c>
      <c r="F26" s="17">
        <v>171609</v>
      </c>
      <c r="G26" s="17">
        <v>172810</v>
      </c>
      <c r="H26" s="17">
        <v>177678</v>
      </c>
      <c r="I26" s="17">
        <v>147184</v>
      </c>
      <c r="J26" s="17">
        <v>138004</v>
      </c>
      <c r="K26" s="17">
        <v>127084</v>
      </c>
      <c r="L26" s="49">
        <v>130691</v>
      </c>
      <c r="M26" s="49">
        <v>142435</v>
      </c>
      <c r="N26" s="49">
        <v>153627</v>
      </c>
      <c r="O26" s="49">
        <v>151679</v>
      </c>
      <c r="P26" s="49">
        <v>161974</v>
      </c>
      <c r="Q26" s="16">
        <f>AVERAGE(B26:P26)</f>
        <v>158024.93333333332</v>
      </c>
      <c r="S26" s="66">
        <f>Q26/1000000</f>
        <v>0.15802493333333331</v>
      </c>
      <c r="U26" s="74">
        <f t="shared" ref="U26:U42" si="3">LN(S26)</f>
        <v>-1.8450024524980397</v>
      </c>
    </row>
    <row r="27" spans="1:21">
      <c r="A27" s="8" t="s">
        <v>1</v>
      </c>
      <c r="B27" s="17">
        <v>6125</v>
      </c>
      <c r="C27" s="17">
        <v>6877</v>
      </c>
      <c r="D27" s="17">
        <v>6064</v>
      </c>
      <c r="E27" s="17">
        <v>6006</v>
      </c>
      <c r="F27" s="17">
        <v>6807</v>
      </c>
      <c r="G27" s="17">
        <v>7221</v>
      </c>
      <c r="H27" s="17">
        <v>7197</v>
      </c>
      <c r="I27" s="17">
        <v>3444</v>
      </c>
      <c r="J27" s="17">
        <v>4520</v>
      </c>
      <c r="K27" s="17">
        <v>2857</v>
      </c>
      <c r="L27" s="49">
        <v>3295</v>
      </c>
      <c r="M27" s="49">
        <v>4139</v>
      </c>
      <c r="N27" s="49">
        <v>4553</v>
      </c>
      <c r="O27" s="49">
        <v>4275</v>
      </c>
      <c r="P27" s="49">
        <v>4119</v>
      </c>
      <c r="Q27" s="16">
        <f t="shared" ref="Q27:Q41" si="4">AVERAGE(B27:P27)</f>
        <v>5166.6000000000004</v>
      </c>
      <c r="S27" s="66">
        <f t="shared" ref="S27:S42" si="5">Q27/1000000</f>
        <v>5.1666000000000004E-3</v>
      </c>
      <c r="U27" s="74">
        <f t="shared" si="3"/>
        <v>-5.2655404470340992</v>
      </c>
    </row>
    <row r="28" spans="1:21">
      <c r="A28" s="8" t="s">
        <v>2</v>
      </c>
      <c r="B28" s="17">
        <v>6081</v>
      </c>
      <c r="C28" s="17">
        <v>6086</v>
      </c>
      <c r="D28" s="17">
        <v>5689</v>
      </c>
      <c r="E28" s="17">
        <v>5923</v>
      </c>
      <c r="F28" s="17">
        <v>6741</v>
      </c>
      <c r="G28" s="17">
        <v>7113</v>
      </c>
      <c r="H28" s="17">
        <v>7155</v>
      </c>
      <c r="I28" s="17">
        <v>6356</v>
      </c>
      <c r="J28" s="17">
        <v>5617</v>
      </c>
      <c r="K28" s="17">
        <v>5114</v>
      </c>
      <c r="L28" s="49">
        <v>5373</v>
      </c>
      <c r="M28" s="49">
        <v>5880</v>
      </c>
      <c r="N28" s="49">
        <v>6247</v>
      </c>
      <c r="O28" s="49">
        <v>7379</v>
      </c>
      <c r="P28" s="49">
        <v>6978</v>
      </c>
      <c r="Q28" s="16">
        <f t="shared" si="4"/>
        <v>6248.8</v>
      </c>
      <c r="S28" s="66">
        <f t="shared" si="5"/>
        <v>6.2488000000000005E-3</v>
      </c>
      <c r="U28" s="74">
        <f t="shared" si="3"/>
        <v>-5.0753658336681866</v>
      </c>
    </row>
    <row r="29" spans="1:21">
      <c r="A29" s="8" t="s">
        <v>3</v>
      </c>
      <c r="B29" s="17">
        <v>2787</v>
      </c>
      <c r="C29" s="17">
        <v>2862</v>
      </c>
      <c r="D29" s="17">
        <v>2912</v>
      </c>
      <c r="E29" s="17">
        <v>2464</v>
      </c>
      <c r="F29" s="17">
        <v>2948</v>
      </c>
      <c r="G29" s="17">
        <v>2784</v>
      </c>
      <c r="H29" s="17">
        <v>3079</v>
      </c>
      <c r="I29" s="17">
        <v>2970</v>
      </c>
      <c r="J29" s="17">
        <v>2744</v>
      </c>
      <c r="K29" s="17">
        <v>2668</v>
      </c>
      <c r="L29" s="49">
        <v>2518</v>
      </c>
      <c r="M29" s="49">
        <v>2235</v>
      </c>
      <c r="N29" s="49">
        <v>2638</v>
      </c>
      <c r="O29" s="49">
        <v>2095</v>
      </c>
      <c r="P29" s="49">
        <v>1159</v>
      </c>
      <c r="Q29" s="16">
        <f t="shared" si="4"/>
        <v>2590.8666666666668</v>
      </c>
      <c r="S29" s="66">
        <f t="shared" si="5"/>
        <v>2.5908666666666666E-3</v>
      </c>
      <c r="U29" s="74">
        <f t="shared" si="3"/>
        <v>-5.9557628389089681</v>
      </c>
    </row>
    <row r="30" spans="1:21">
      <c r="A30" s="8" t="s">
        <v>4</v>
      </c>
      <c r="B30" s="17">
        <v>6185</v>
      </c>
      <c r="C30" s="17">
        <v>5310</v>
      </c>
      <c r="D30" s="17">
        <v>4088</v>
      </c>
      <c r="E30" s="17">
        <v>4065</v>
      </c>
      <c r="F30" s="17">
        <v>4327</v>
      </c>
      <c r="G30" s="17">
        <v>3776</v>
      </c>
      <c r="H30" s="17">
        <v>4049</v>
      </c>
      <c r="I30" s="17">
        <v>2874</v>
      </c>
      <c r="J30" s="17">
        <v>2980</v>
      </c>
      <c r="K30" s="17">
        <v>2950</v>
      </c>
      <c r="L30" s="49">
        <v>2761</v>
      </c>
      <c r="M30" s="49">
        <v>3539</v>
      </c>
      <c r="N30" s="49">
        <v>3390</v>
      </c>
      <c r="O30" s="49">
        <v>3483</v>
      </c>
      <c r="P30" s="49">
        <v>3415</v>
      </c>
      <c r="Q30" s="16">
        <f t="shared" si="4"/>
        <v>3812.8</v>
      </c>
      <c r="S30" s="66">
        <f t="shared" si="5"/>
        <v>3.8128000000000003E-3</v>
      </c>
      <c r="U30" s="74">
        <f t="shared" si="3"/>
        <v>-5.5693914516197962</v>
      </c>
    </row>
    <row r="31" spans="1:21">
      <c r="A31" s="8" t="s">
        <v>5</v>
      </c>
      <c r="B31" s="17">
        <v>8032</v>
      </c>
      <c r="C31" s="17">
        <v>7293</v>
      </c>
      <c r="D31" s="17">
        <v>7160</v>
      </c>
      <c r="E31" s="17">
        <v>7220</v>
      </c>
      <c r="F31" s="17">
        <v>8001</v>
      </c>
      <c r="G31" s="17">
        <v>8622</v>
      </c>
      <c r="H31" s="17">
        <v>10008</v>
      </c>
      <c r="I31" s="17">
        <v>8774</v>
      </c>
      <c r="J31" s="17">
        <v>7254</v>
      </c>
      <c r="K31" s="17">
        <v>8286</v>
      </c>
      <c r="L31" s="49">
        <v>9311</v>
      </c>
      <c r="M31" s="49">
        <v>9805</v>
      </c>
      <c r="N31" s="49">
        <v>9709</v>
      </c>
      <c r="O31" s="49">
        <v>8481</v>
      </c>
      <c r="P31" s="49">
        <v>8731</v>
      </c>
      <c r="Q31" s="16">
        <f t="shared" si="4"/>
        <v>8445.7999999999993</v>
      </c>
      <c r="S31" s="66">
        <f t="shared" si="5"/>
        <v>8.4457999999999998E-3</v>
      </c>
      <c r="U31" s="74">
        <f t="shared" si="3"/>
        <v>-4.7740860025992067</v>
      </c>
    </row>
    <row r="32" spans="1:21">
      <c r="A32" s="8" t="s">
        <v>6</v>
      </c>
      <c r="B32" s="17">
        <v>8744</v>
      </c>
      <c r="C32" s="17">
        <v>8377</v>
      </c>
      <c r="D32" s="17">
        <v>7261</v>
      </c>
      <c r="E32" s="17">
        <v>7190</v>
      </c>
      <c r="F32" s="17">
        <v>9043</v>
      </c>
      <c r="G32" s="17">
        <v>10810</v>
      </c>
      <c r="H32" s="17">
        <v>11451</v>
      </c>
      <c r="I32" s="17">
        <v>7634</v>
      </c>
      <c r="J32" s="17">
        <v>6372</v>
      </c>
      <c r="K32" s="17">
        <v>5394</v>
      </c>
      <c r="L32" s="49">
        <v>6255</v>
      </c>
      <c r="M32" s="49">
        <v>6458</v>
      </c>
      <c r="N32" s="49">
        <v>7910</v>
      </c>
      <c r="O32" s="49">
        <v>9788</v>
      </c>
      <c r="P32" s="49">
        <v>8807</v>
      </c>
      <c r="Q32" s="16">
        <f t="shared" si="4"/>
        <v>8099.6</v>
      </c>
      <c r="S32" s="66">
        <f t="shared" si="5"/>
        <v>8.0996000000000002E-3</v>
      </c>
      <c r="U32" s="74">
        <f t="shared" si="3"/>
        <v>-4.8159406012391601</v>
      </c>
    </row>
    <row r="33" spans="1:21">
      <c r="A33" s="8" t="s">
        <v>7</v>
      </c>
      <c r="B33" s="17">
        <v>18729</v>
      </c>
      <c r="C33" s="17">
        <v>15537</v>
      </c>
      <c r="D33" s="17">
        <v>14835</v>
      </c>
      <c r="E33" s="17">
        <v>15337</v>
      </c>
      <c r="F33" s="17">
        <v>17308</v>
      </c>
      <c r="G33" s="17">
        <v>16364</v>
      </c>
      <c r="H33" s="17">
        <v>16623</v>
      </c>
      <c r="I33" s="17">
        <v>12001</v>
      </c>
      <c r="J33" s="17">
        <v>10928</v>
      </c>
      <c r="K33" s="17">
        <v>10166</v>
      </c>
      <c r="L33" s="49">
        <v>10215</v>
      </c>
      <c r="M33" s="49">
        <v>12552</v>
      </c>
      <c r="N33" s="49">
        <v>12398</v>
      </c>
      <c r="O33" s="49">
        <v>12440</v>
      </c>
      <c r="P33" s="49">
        <v>12081</v>
      </c>
      <c r="Q33" s="16">
        <f t="shared" si="4"/>
        <v>13834.266666666666</v>
      </c>
      <c r="S33" s="66">
        <f t="shared" si="5"/>
        <v>1.3834266666666666E-2</v>
      </c>
      <c r="U33" s="74">
        <f t="shared" si="3"/>
        <v>-4.280606672810066</v>
      </c>
    </row>
    <row r="34" spans="1:21">
      <c r="A34" s="8" t="s">
        <v>8</v>
      </c>
      <c r="B34" s="17">
        <v>11127</v>
      </c>
      <c r="C34" s="17">
        <v>8462</v>
      </c>
      <c r="D34" s="17">
        <v>7001</v>
      </c>
      <c r="E34" s="17">
        <v>7300</v>
      </c>
      <c r="F34" s="17">
        <v>7382</v>
      </c>
      <c r="G34" s="17">
        <v>6844</v>
      </c>
      <c r="H34" s="17">
        <v>7087</v>
      </c>
      <c r="I34" s="17">
        <v>5378</v>
      </c>
      <c r="J34" s="17">
        <v>5153</v>
      </c>
      <c r="K34" s="17">
        <v>4647</v>
      </c>
      <c r="L34" s="49">
        <v>4764</v>
      </c>
      <c r="M34" s="49">
        <v>5526</v>
      </c>
      <c r="N34" s="49">
        <v>5493</v>
      </c>
      <c r="O34" s="49">
        <v>5483</v>
      </c>
      <c r="P34" s="49">
        <v>5151</v>
      </c>
      <c r="Q34" s="16">
        <f t="shared" si="4"/>
        <v>6453.2</v>
      </c>
      <c r="S34" s="66">
        <f t="shared" si="5"/>
        <v>6.4532000000000001E-3</v>
      </c>
      <c r="U34" s="74">
        <f t="shared" si="3"/>
        <v>-5.0431791471722853</v>
      </c>
    </row>
    <row r="35" spans="1:21">
      <c r="A35" s="8" t="s">
        <v>9</v>
      </c>
      <c r="B35" s="17">
        <v>4841</v>
      </c>
      <c r="C35" s="17">
        <v>4534</v>
      </c>
      <c r="D35" s="17">
        <v>4099</v>
      </c>
      <c r="E35" s="17">
        <v>4359</v>
      </c>
      <c r="F35" s="17">
        <v>4825</v>
      </c>
      <c r="G35" s="17">
        <v>5347</v>
      </c>
      <c r="H35" s="17">
        <v>5745</v>
      </c>
      <c r="I35" s="17">
        <v>3733</v>
      </c>
      <c r="J35" s="17">
        <v>3301</v>
      </c>
      <c r="K35" s="17">
        <v>3087</v>
      </c>
      <c r="L35" s="49">
        <v>3309</v>
      </c>
      <c r="M35" s="49">
        <v>3058</v>
      </c>
      <c r="N35" s="49">
        <v>3883</v>
      </c>
      <c r="O35" s="49">
        <v>3455</v>
      </c>
      <c r="P35" s="49">
        <v>3477</v>
      </c>
      <c r="Q35" s="16">
        <f t="shared" si="4"/>
        <v>4070.2</v>
      </c>
      <c r="S35" s="66">
        <f t="shared" si="5"/>
        <v>4.0701999999999995E-3</v>
      </c>
      <c r="U35" s="74">
        <f t="shared" si="3"/>
        <v>-5.504063140685826</v>
      </c>
    </row>
    <row r="36" spans="1:21">
      <c r="A36" s="8" t="s">
        <v>10</v>
      </c>
      <c r="B36" s="17">
        <v>3286</v>
      </c>
      <c r="C36" s="17">
        <v>3111</v>
      </c>
      <c r="D36" s="17">
        <v>1853</v>
      </c>
      <c r="E36" s="17">
        <v>1800</v>
      </c>
      <c r="F36" s="17">
        <v>2493</v>
      </c>
      <c r="G36" s="17">
        <v>2371</v>
      </c>
      <c r="H36" s="17">
        <v>2027</v>
      </c>
      <c r="I36" s="17">
        <v>1417</v>
      </c>
      <c r="J36" s="17">
        <v>1481</v>
      </c>
      <c r="K36" s="17">
        <v>975</v>
      </c>
      <c r="L36" s="49">
        <v>841</v>
      </c>
      <c r="M36" s="49">
        <v>901</v>
      </c>
      <c r="N36" s="49">
        <v>1337</v>
      </c>
      <c r="O36" s="49">
        <v>1248</v>
      </c>
      <c r="P36" s="49">
        <v>1537</v>
      </c>
      <c r="Q36" s="16">
        <f t="shared" si="4"/>
        <v>1778.5333333333333</v>
      </c>
      <c r="S36" s="66">
        <f t="shared" si="5"/>
        <v>1.7785333333333333E-3</v>
      </c>
      <c r="U36" s="74">
        <f t="shared" si="3"/>
        <v>-6.3319662243654946</v>
      </c>
    </row>
    <row r="37" spans="1:21">
      <c r="A37" s="8" t="s">
        <v>68</v>
      </c>
      <c r="B37" s="17">
        <v>3864</v>
      </c>
      <c r="C37" s="17">
        <v>3446</v>
      </c>
      <c r="D37" s="17">
        <v>3874</v>
      </c>
      <c r="E37" s="17">
        <v>5717</v>
      </c>
      <c r="F37" s="17">
        <v>4659</v>
      </c>
      <c r="G37" s="17">
        <v>3493</v>
      </c>
      <c r="H37" s="17">
        <v>2916</v>
      </c>
      <c r="I37" s="17">
        <v>2539</v>
      </c>
      <c r="J37" s="17">
        <v>2459</v>
      </c>
      <c r="K37" s="17">
        <v>1695</v>
      </c>
      <c r="L37" s="49">
        <v>1705</v>
      </c>
      <c r="M37" s="49">
        <v>1915</v>
      </c>
      <c r="N37" s="49">
        <v>2273</v>
      </c>
      <c r="O37" s="49">
        <v>2477</v>
      </c>
      <c r="P37" s="49">
        <v>2555</v>
      </c>
      <c r="Q37" s="16">
        <f t="shared" si="4"/>
        <v>3039.1333333333332</v>
      </c>
      <c r="S37" s="66">
        <f t="shared" si="5"/>
        <v>3.039133333333333E-3</v>
      </c>
      <c r="U37" s="74">
        <f t="shared" si="3"/>
        <v>-5.7961828919285336</v>
      </c>
    </row>
    <row r="38" spans="1:21">
      <c r="A38" s="8" t="s">
        <v>11</v>
      </c>
      <c r="B38" s="17">
        <v>6467</v>
      </c>
      <c r="C38" s="17">
        <v>6192</v>
      </c>
      <c r="D38" s="17">
        <v>6158</v>
      </c>
      <c r="E38" s="17">
        <v>5366</v>
      </c>
      <c r="F38" s="17">
        <v>5764</v>
      </c>
      <c r="G38" s="17">
        <v>6083</v>
      </c>
      <c r="H38" s="17">
        <v>4890</v>
      </c>
      <c r="I38" s="17">
        <v>4249</v>
      </c>
      <c r="J38" s="17">
        <v>4078</v>
      </c>
      <c r="K38" s="17">
        <v>3522</v>
      </c>
      <c r="L38" s="49">
        <v>3645</v>
      </c>
      <c r="M38" s="49">
        <v>4426</v>
      </c>
      <c r="N38" s="49">
        <v>4329</v>
      </c>
      <c r="O38" s="49">
        <v>4733</v>
      </c>
      <c r="P38" s="49">
        <v>5509</v>
      </c>
      <c r="Q38" s="16">
        <f t="shared" si="4"/>
        <v>5027.3999999999996</v>
      </c>
      <c r="S38" s="66">
        <f t="shared" si="5"/>
        <v>5.0273999999999996E-3</v>
      </c>
      <c r="U38" s="74">
        <f t="shared" si="3"/>
        <v>-5.2928523271169787</v>
      </c>
    </row>
    <row r="39" spans="1:21">
      <c r="A39" s="8" t="s">
        <v>12</v>
      </c>
      <c r="B39" s="17">
        <v>4101</v>
      </c>
      <c r="C39" s="17">
        <v>3365</v>
      </c>
      <c r="D39" s="17">
        <v>2641</v>
      </c>
      <c r="E39" s="17">
        <v>2461</v>
      </c>
      <c r="F39" s="17">
        <v>2190</v>
      </c>
      <c r="G39" s="17">
        <v>2223</v>
      </c>
      <c r="H39" s="17">
        <v>2019</v>
      </c>
      <c r="I39" s="17">
        <v>1603</v>
      </c>
      <c r="J39" s="17">
        <v>1166</v>
      </c>
      <c r="K39" s="17">
        <v>1099</v>
      </c>
      <c r="L39" s="49">
        <v>1404</v>
      </c>
      <c r="M39" s="49">
        <v>1896</v>
      </c>
      <c r="N39" s="49">
        <v>1745</v>
      </c>
      <c r="O39" s="49">
        <v>1858</v>
      </c>
      <c r="P39" s="49">
        <v>2003</v>
      </c>
      <c r="Q39" s="16">
        <f t="shared" si="4"/>
        <v>2118.2666666666669</v>
      </c>
      <c r="S39" s="66">
        <f t="shared" si="5"/>
        <v>2.1182666666666669E-3</v>
      </c>
      <c r="U39" s="74">
        <f t="shared" si="3"/>
        <v>-6.1571571347865151</v>
      </c>
    </row>
    <row r="40" spans="1:21">
      <c r="A40" s="8" t="s">
        <v>13</v>
      </c>
      <c r="B40" s="17">
        <v>13013</v>
      </c>
      <c r="C40" s="17">
        <v>12163</v>
      </c>
      <c r="D40" s="17">
        <v>12225</v>
      </c>
      <c r="E40" s="17">
        <v>12503</v>
      </c>
      <c r="F40" s="17">
        <v>13240</v>
      </c>
      <c r="G40" s="17">
        <v>13156</v>
      </c>
      <c r="H40" s="17">
        <v>12426</v>
      </c>
      <c r="I40" s="17">
        <v>8002</v>
      </c>
      <c r="J40" s="17">
        <v>7480</v>
      </c>
      <c r="K40" s="17">
        <v>7165</v>
      </c>
      <c r="L40" s="49">
        <v>7225</v>
      </c>
      <c r="M40" s="49">
        <v>8248</v>
      </c>
      <c r="N40" s="49">
        <v>8556</v>
      </c>
      <c r="O40" s="49">
        <v>9640</v>
      </c>
      <c r="P40" s="49">
        <v>4073</v>
      </c>
      <c r="Q40" s="16">
        <f t="shared" si="4"/>
        <v>9941</v>
      </c>
      <c r="S40" s="66">
        <f t="shared" si="5"/>
        <v>9.9410000000000002E-3</v>
      </c>
      <c r="U40" s="74">
        <f t="shared" si="3"/>
        <v>-4.6110876597521289</v>
      </c>
    </row>
    <row r="41" spans="1:21">
      <c r="A41" s="8" t="s">
        <v>14</v>
      </c>
      <c r="B41" s="17">
        <v>12712</v>
      </c>
      <c r="C41" s="17">
        <v>10255</v>
      </c>
      <c r="D41" s="17">
        <v>9578</v>
      </c>
      <c r="E41" s="17">
        <v>9679</v>
      </c>
      <c r="F41" s="17">
        <v>9983</v>
      </c>
      <c r="G41" s="17">
        <v>9977</v>
      </c>
      <c r="H41" s="17">
        <v>11366</v>
      </c>
      <c r="I41" s="17">
        <v>13625</v>
      </c>
      <c r="J41" s="17">
        <v>12220</v>
      </c>
      <c r="K41" s="17">
        <v>12793</v>
      </c>
      <c r="L41" s="49">
        <v>11978</v>
      </c>
      <c r="M41" s="49">
        <v>11904</v>
      </c>
      <c r="N41" s="49">
        <v>12024</v>
      </c>
      <c r="O41" s="49">
        <v>12232</v>
      </c>
      <c r="P41" s="49">
        <v>14341</v>
      </c>
      <c r="Q41" s="16">
        <f t="shared" si="4"/>
        <v>11644.466666666667</v>
      </c>
      <c r="S41" s="66">
        <f t="shared" si="5"/>
        <v>1.1644466666666667E-2</v>
      </c>
      <c r="U41" s="74">
        <f t="shared" si="3"/>
        <v>-4.452924176036289</v>
      </c>
    </row>
    <row r="42" spans="1:21">
      <c r="A42" s="8" t="s">
        <v>15</v>
      </c>
      <c r="B42" s="17">
        <v>60179</v>
      </c>
      <c r="C42" s="17">
        <v>55281</v>
      </c>
      <c r="D42" s="17">
        <v>49949</v>
      </c>
      <c r="E42" s="17">
        <v>48306</v>
      </c>
      <c r="F42" s="17">
        <v>48971</v>
      </c>
      <c r="G42" s="17">
        <v>46763</v>
      </c>
      <c r="H42" s="17">
        <v>47370</v>
      </c>
      <c r="I42" s="17">
        <v>39368</v>
      </c>
      <c r="J42" s="17">
        <v>32197</v>
      </c>
      <c r="K42" s="17">
        <v>31364</v>
      </c>
      <c r="L42" s="49">
        <v>31052</v>
      </c>
      <c r="M42" s="49">
        <v>30886</v>
      </c>
      <c r="N42" s="49">
        <v>35017</v>
      </c>
      <c r="O42" s="49">
        <v>35058</v>
      </c>
      <c r="P42" s="49">
        <v>38435</v>
      </c>
      <c r="Q42" s="16">
        <f>AVERAGE(B42:P42)</f>
        <v>42013.066666666666</v>
      </c>
      <c r="S42" s="66">
        <f t="shared" si="5"/>
        <v>4.2013066666666668E-2</v>
      </c>
      <c r="U42" s="74">
        <f t="shared" si="3"/>
        <v>-3.1697745979726841</v>
      </c>
    </row>
    <row r="45" spans="1:21" ht="16" customHeight="1">
      <c r="A45" s="1" t="s">
        <v>60</v>
      </c>
      <c r="B45" s="1"/>
      <c r="C45" s="1"/>
      <c r="D45" s="1"/>
      <c r="E45" s="40" t="s">
        <v>18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21">
      <c r="A47" s="15"/>
      <c r="B47" s="15">
        <v>2008</v>
      </c>
      <c r="C47" s="15">
        <v>2009</v>
      </c>
      <c r="D47" s="15">
        <v>2010</v>
      </c>
      <c r="E47" s="15">
        <v>2011</v>
      </c>
      <c r="F47" s="15">
        <v>2012</v>
      </c>
      <c r="G47" s="15">
        <v>2013</v>
      </c>
      <c r="H47" s="15">
        <v>2014</v>
      </c>
      <c r="I47" s="15">
        <v>2015</v>
      </c>
      <c r="J47" s="15">
        <v>2016</v>
      </c>
      <c r="K47" s="15">
        <v>2017</v>
      </c>
      <c r="L47" s="15">
        <v>2018</v>
      </c>
      <c r="M47" s="15">
        <v>2019</v>
      </c>
      <c r="N47" s="15">
        <v>2020</v>
      </c>
      <c r="O47" s="15">
        <v>2021</v>
      </c>
      <c r="P47" s="15">
        <v>2022</v>
      </c>
      <c r="Q47" s="15"/>
      <c r="R47" s="1"/>
      <c r="S47" s="1"/>
    </row>
    <row r="48" spans="1:21">
      <c r="A48" s="46" t="s">
        <v>0</v>
      </c>
      <c r="B48" s="29">
        <v>6.6291164525243671</v>
      </c>
      <c r="C48" s="29">
        <v>6.6</v>
      </c>
      <c r="D48" s="30">
        <v>5.8</v>
      </c>
      <c r="E48" s="30">
        <v>5.4</v>
      </c>
      <c r="F48" s="31">
        <v>5.3</v>
      </c>
      <c r="G48" s="31">
        <v>5.2</v>
      </c>
      <c r="H48" s="31">
        <v>5</v>
      </c>
      <c r="I48" s="32">
        <v>5.0999999999999996</v>
      </c>
      <c r="J48" s="31">
        <v>5</v>
      </c>
      <c r="K48" s="32">
        <v>4.9000000000000004</v>
      </c>
      <c r="L48" s="31">
        <v>4.9000000000000004</v>
      </c>
      <c r="M48" s="7">
        <v>4.8</v>
      </c>
      <c r="N48" s="7">
        <v>4.9000000000000004</v>
      </c>
      <c r="O48" s="7">
        <v>4.9000000000000004</v>
      </c>
      <c r="P48" s="7">
        <v>4.9000000000000004</v>
      </c>
      <c r="Q48" s="50">
        <f>AVERAGE(B48:P48)</f>
        <v>5.2886077635016262</v>
      </c>
      <c r="R48" s="41"/>
      <c r="U48" s="74">
        <f t="shared" ref="U48:U64" si="6">LN(Q48)</f>
        <v>1.6655550285286567</v>
      </c>
    </row>
    <row r="49" spans="1:21">
      <c r="A49" s="8" t="s">
        <v>1</v>
      </c>
      <c r="B49" s="29">
        <v>7.1231391670878716</v>
      </c>
      <c r="C49" s="29">
        <v>6.9</v>
      </c>
      <c r="D49" s="30">
        <v>5.8</v>
      </c>
      <c r="E49" s="30">
        <v>5.5</v>
      </c>
      <c r="F49" s="31">
        <v>5.3</v>
      </c>
      <c r="G49" s="31">
        <v>5.2</v>
      </c>
      <c r="H49" s="31">
        <v>4.9000000000000004</v>
      </c>
      <c r="I49" s="32">
        <v>5.0999999999999996</v>
      </c>
      <c r="J49" s="31">
        <v>4.9000000000000004</v>
      </c>
      <c r="K49" s="32">
        <v>4.8</v>
      </c>
      <c r="L49" s="33">
        <v>4.8</v>
      </c>
      <c r="M49" s="7">
        <v>4.7</v>
      </c>
      <c r="N49" s="7">
        <v>4.9000000000000004</v>
      </c>
      <c r="O49" s="7">
        <v>4.9000000000000004</v>
      </c>
      <c r="P49" s="7">
        <v>4.8</v>
      </c>
      <c r="Q49" s="50">
        <f t="shared" ref="Q49:Q64" si="7">AVERAGE(B49:P49)</f>
        <v>5.3082092778058581</v>
      </c>
      <c r="R49" s="41"/>
      <c r="U49" s="74">
        <f t="shared" si="6"/>
        <v>1.6692545425589556</v>
      </c>
    </row>
    <row r="50" spans="1:21">
      <c r="A50" s="8" t="s">
        <v>2</v>
      </c>
      <c r="B50" s="29">
        <v>6.3763272375428244</v>
      </c>
      <c r="C50" s="29">
        <v>6</v>
      </c>
      <c r="D50" s="30">
        <v>5.3</v>
      </c>
      <c r="E50" s="30">
        <v>4.9000000000000004</v>
      </c>
      <c r="F50" s="31">
        <v>5</v>
      </c>
      <c r="G50" s="31">
        <v>4.9000000000000004</v>
      </c>
      <c r="H50" s="31">
        <v>4.9000000000000004</v>
      </c>
      <c r="I50" s="32">
        <v>5.0999999999999996</v>
      </c>
      <c r="J50" s="31">
        <v>4.8</v>
      </c>
      <c r="K50" s="32">
        <v>4.8</v>
      </c>
      <c r="L50" s="33">
        <v>4.8</v>
      </c>
      <c r="M50" s="7">
        <v>4.8</v>
      </c>
      <c r="N50" s="7">
        <v>4.8</v>
      </c>
      <c r="O50" s="7">
        <v>4.8</v>
      </c>
      <c r="P50" s="7">
        <v>4.8</v>
      </c>
      <c r="Q50" s="50">
        <f t="shared" si="7"/>
        <v>5.0717551491695207</v>
      </c>
      <c r="R50" s="41"/>
      <c r="U50" s="74">
        <f t="shared" si="6"/>
        <v>1.6236869409636399</v>
      </c>
    </row>
    <row r="51" spans="1:21">
      <c r="A51" s="8" t="s">
        <v>3</v>
      </c>
      <c r="B51" s="29">
        <v>6.408518469091752</v>
      </c>
      <c r="C51" s="29">
        <v>6.5</v>
      </c>
      <c r="D51" s="30">
        <v>5.6</v>
      </c>
      <c r="E51" s="30">
        <v>5.0999999999999996</v>
      </c>
      <c r="F51" s="31">
        <v>5</v>
      </c>
      <c r="G51" s="31">
        <v>4.9000000000000004</v>
      </c>
      <c r="H51" s="31">
        <v>4.9000000000000004</v>
      </c>
      <c r="I51" s="32">
        <v>5</v>
      </c>
      <c r="J51" s="31">
        <v>4.8</v>
      </c>
      <c r="K51" s="32">
        <v>4.7</v>
      </c>
      <c r="L51" s="33">
        <v>4.7</v>
      </c>
      <c r="M51" s="7">
        <v>4.5999999999999996</v>
      </c>
      <c r="N51" s="7">
        <v>4.8</v>
      </c>
      <c r="O51" s="7">
        <v>4.8</v>
      </c>
      <c r="P51" s="7">
        <v>4.7</v>
      </c>
      <c r="Q51" s="50">
        <f t="shared" si="7"/>
        <v>5.1005678979394506</v>
      </c>
      <c r="R51" s="41"/>
      <c r="U51" s="74">
        <f t="shared" si="6"/>
        <v>1.6293518860681937</v>
      </c>
    </row>
    <row r="52" spans="1:21">
      <c r="A52" s="8" t="s">
        <v>4</v>
      </c>
      <c r="B52" s="29">
        <v>6.3090501028818595</v>
      </c>
      <c r="C52" s="29">
        <v>6.1</v>
      </c>
      <c r="D52" s="30">
        <v>5.4</v>
      </c>
      <c r="E52" s="30">
        <v>5</v>
      </c>
      <c r="F52" s="31">
        <v>5</v>
      </c>
      <c r="G52" s="31">
        <v>5</v>
      </c>
      <c r="H52" s="31">
        <v>5</v>
      </c>
      <c r="I52" s="32">
        <v>5</v>
      </c>
      <c r="J52" s="31">
        <v>4.9000000000000004</v>
      </c>
      <c r="K52" s="32">
        <v>4.9000000000000004</v>
      </c>
      <c r="L52" s="33">
        <v>4.9000000000000004</v>
      </c>
      <c r="M52" s="7">
        <v>4.8</v>
      </c>
      <c r="N52" s="7">
        <v>4.9000000000000004</v>
      </c>
      <c r="O52" s="7">
        <v>4.9000000000000004</v>
      </c>
      <c r="P52" s="7">
        <v>4.8</v>
      </c>
      <c r="Q52" s="50">
        <f t="shared" si="7"/>
        <v>5.1272700068587911</v>
      </c>
      <c r="R52" s="41"/>
      <c r="U52" s="74">
        <f t="shared" si="6"/>
        <v>1.6345733551283157</v>
      </c>
    </row>
    <row r="53" spans="1:21">
      <c r="A53" s="8" t="s">
        <v>5</v>
      </c>
      <c r="B53" s="29">
        <v>7.0911905177761581</v>
      </c>
      <c r="C53" s="29">
        <v>6.3</v>
      </c>
      <c r="D53" s="30">
        <v>5.6</v>
      </c>
      <c r="E53" s="30">
        <v>5.3</v>
      </c>
      <c r="F53" s="31">
        <v>5.0999999999999996</v>
      </c>
      <c r="G53" s="31">
        <v>5.0999999999999996</v>
      </c>
      <c r="H53" s="31">
        <v>5</v>
      </c>
      <c r="I53" s="32">
        <v>5.0999999999999996</v>
      </c>
      <c r="J53" s="31">
        <v>4.9000000000000004</v>
      </c>
      <c r="K53" s="32">
        <v>4.9000000000000004</v>
      </c>
      <c r="L53" s="34">
        <v>4.9000000000000004</v>
      </c>
      <c r="M53" s="7">
        <v>4.8</v>
      </c>
      <c r="N53" s="7">
        <v>5</v>
      </c>
      <c r="O53" s="7">
        <v>4.9000000000000004</v>
      </c>
      <c r="P53" s="7">
        <v>5</v>
      </c>
      <c r="Q53" s="50">
        <f t="shared" si="7"/>
        <v>5.2660793678517441</v>
      </c>
      <c r="R53" s="41"/>
      <c r="U53" s="74">
        <f t="shared" si="6"/>
        <v>1.6612861327136246</v>
      </c>
    </row>
    <row r="54" spans="1:21">
      <c r="A54" s="8" t="s">
        <v>6</v>
      </c>
      <c r="B54" s="29">
        <v>6.5160308466607768</v>
      </c>
      <c r="C54" s="29">
        <v>6.5</v>
      </c>
      <c r="D54" s="30">
        <v>5.7</v>
      </c>
      <c r="E54" s="30">
        <v>5.5</v>
      </c>
      <c r="F54" s="31">
        <v>5.4</v>
      </c>
      <c r="G54" s="31">
        <v>5.2</v>
      </c>
      <c r="H54" s="31">
        <v>4.9000000000000004</v>
      </c>
      <c r="I54" s="32">
        <v>5.0999999999999996</v>
      </c>
      <c r="J54" s="31">
        <v>4.9000000000000004</v>
      </c>
      <c r="K54" s="32">
        <v>4.9000000000000004</v>
      </c>
      <c r="L54" s="33">
        <v>4.9000000000000004</v>
      </c>
      <c r="M54" s="7">
        <v>4.8</v>
      </c>
      <c r="N54" s="7">
        <v>4.9000000000000004</v>
      </c>
      <c r="O54" s="7">
        <v>4.9000000000000004</v>
      </c>
      <c r="P54" s="7">
        <v>5</v>
      </c>
      <c r="Q54" s="50">
        <f t="shared" si="7"/>
        <v>5.2744020564440524</v>
      </c>
      <c r="R54" s="41"/>
      <c r="U54" s="74">
        <f t="shared" si="6"/>
        <v>1.6628653187084383</v>
      </c>
    </row>
    <row r="55" spans="1:21">
      <c r="A55" s="8" t="s">
        <v>7</v>
      </c>
      <c r="B55" s="29">
        <v>6.2161727020246067</v>
      </c>
      <c r="C55" s="29">
        <v>6.1</v>
      </c>
      <c r="D55" s="30">
        <v>5.5</v>
      </c>
      <c r="E55" s="30">
        <v>5.3</v>
      </c>
      <c r="F55" s="31">
        <v>5.0999999999999996</v>
      </c>
      <c r="G55" s="31">
        <v>5</v>
      </c>
      <c r="H55" s="31">
        <v>4.9000000000000004</v>
      </c>
      <c r="I55" s="32">
        <v>5.3</v>
      </c>
      <c r="J55" s="31">
        <v>5</v>
      </c>
      <c r="K55" s="32">
        <v>4.8</v>
      </c>
      <c r="L55" s="33">
        <v>4.5999999999999996</v>
      </c>
      <c r="M55" s="7">
        <v>4.4000000000000004</v>
      </c>
      <c r="N55" s="7">
        <v>4.5999999999999996</v>
      </c>
      <c r="O55" s="7">
        <v>4.5</v>
      </c>
      <c r="P55" s="7">
        <v>4.4000000000000004</v>
      </c>
      <c r="Q55" s="50">
        <f t="shared" si="7"/>
        <v>5.0477448468016402</v>
      </c>
      <c r="R55" s="41"/>
      <c r="U55" s="74">
        <f t="shared" si="6"/>
        <v>1.6189415785576546</v>
      </c>
    </row>
    <row r="56" spans="1:21">
      <c r="A56" s="8" t="s">
        <v>8</v>
      </c>
      <c r="B56" s="29">
        <v>6.8668886688866895</v>
      </c>
      <c r="C56" s="29">
        <v>6.3</v>
      </c>
      <c r="D56" s="30">
        <v>5.7</v>
      </c>
      <c r="E56" s="30">
        <v>5.4</v>
      </c>
      <c r="F56" s="31">
        <v>5.2</v>
      </c>
      <c r="G56" s="31">
        <v>5.2</v>
      </c>
      <c r="H56" s="31">
        <v>5</v>
      </c>
      <c r="I56" s="32">
        <v>5.0999999999999996</v>
      </c>
      <c r="J56" s="31">
        <v>4.9000000000000004</v>
      </c>
      <c r="K56" s="32">
        <v>4.8</v>
      </c>
      <c r="L56" s="33">
        <v>4.8</v>
      </c>
      <c r="M56" s="7">
        <v>4.7</v>
      </c>
      <c r="N56" s="7">
        <v>4.9000000000000004</v>
      </c>
      <c r="O56" s="7">
        <v>4.8</v>
      </c>
      <c r="P56" s="7">
        <v>4.9000000000000004</v>
      </c>
      <c r="Q56" s="50">
        <f t="shared" si="7"/>
        <v>5.237792577925779</v>
      </c>
      <c r="R56" s="41"/>
      <c r="U56" s="74">
        <f t="shared" si="6"/>
        <v>1.6559001458218254</v>
      </c>
    </row>
    <row r="57" spans="1:21">
      <c r="A57" s="8" t="s">
        <v>9</v>
      </c>
      <c r="B57" s="29">
        <v>6.939578178004294</v>
      </c>
      <c r="C57" s="29">
        <v>6.6</v>
      </c>
      <c r="D57" s="30">
        <v>5.9</v>
      </c>
      <c r="E57" s="30">
        <v>5.5</v>
      </c>
      <c r="F57" s="31">
        <v>5.3</v>
      </c>
      <c r="G57" s="31">
        <v>5.2</v>
      </c>
      <c r="H57" s="31">
        <v>5</v>
      </c>
      <c r="I57" s="32">
        <v>5.0999999999999996</v>
      </c>
      <c r="J57" s="31">
        <v>4.9000000000000004</v>
      </c>
      <c r="K57" s="32">
        <v>4.8</v>
      </c>
      <c r="L57" s="33">
        <v>4.8</v>
      </c>
      <c r="M57" s="7">
        <v>4.8</v>
      </c>
      <c r="N57" s="7">
        <v>4.9000000000000004</v>
      </c>
      <c r="O57" s="7">
        <v>4.9000000000000004</v>
      </c>
      <c r="P57" s="7">
        <v>4.9000000000000004</v>
      </c>
      <c r="Q57" s="50">
        <f t="shared" si="7"/>
        <v>5.3026385452002867</v>
      </c>
      <c r="R57" s="41"/>
      <c r="U57" s="74">
        <f t="shared" si="6"/>
        <v>1.6682045353945305</v>
      </c>
    </row>
    <row r="58" spans="1:21">
      <c r="A58" s="8" t="s">
        <v>10</v>
      </c>
      <c r="B58" s="29">
        <v>6.8529541500840079</v>
      </c>
      <c r="C58" s="29">
        <v>7.1</v>
      </c>
      <c r="D58" s="30">
        <v>6.4</v>
      </c>
      <c r="E58" s="30">
        <v>5.8</v>
      </c>
      <c r="F58" s="31">
        <v>5.7</v>
      </c>
      <c r="G58" s="31">
        <v>5.5</v>
      </c>
      <c r="H58" s="31">
        <v>5</v>
      </c>
      <c r="I58" s="32">
        <v>5.0999999999999996</v>
      </c>
      <c r="J58" s="31">
        <v>5</v>
      </c>
      <c r="K58" s="32">
        <v>4.9000000000000004</v>
      </c>
      <c r="L58" s="33">
        <v>4.8</v>
      </c>
      <c r="M58" s="7">
        <v>4.8</v>
      </c>
      <c r="N58" s="7">
        <v>4.9000000000000004</v>
      </c>
      <c r="O58" s="7">
        <v>4.9000000000000004</v>
      </c>
      <c r="P58" s="7">
        <v>5.0999999999999996</v>
      </c>
      <c r="Q58" s="50">
        <f t="shared" si="7"/>
        <v>5.4568636100056009</v>
      </c>
      <c r="R58" s="41"/>
      <c r="U58" s="74">
        <f t="shared" si="6"/>
        <v>1.6968741943065568</v>
      </c>
    </row>
    <row r="59" spans="1:21">
      <c r="A59" s="8" t="s">
        <v>68</v>
      </c>
      <c r="B59" s="29">
        <v>6.6168970544983514</v>
      </c>
      <c r="C59" s="29">
        <v>6.6</v>
      </c>
      <c r="D59" s="30">
        <v>5.4</v>
      </c>
      <c r="E59" s="30">
        <v>5.4</v>
      </c>
      <c r="F59" s="31">
        <v>5.3</v>
      </c>
      <c r="G59" s="31">
        <v>5.4</v>
      </c>
      <c r="H59" s="31">
        <v>5.5</v>
      </c>
      <c r="I59" s="32">
        <v>5.4</v>
      </c>
      <c r="J59" s="31">
        <v>5.0999999999999996</v>
      </c>
      <c r="K59" s="32">
        <v>5.2</v>
      </c>
      <c r="L59" s="33">
        <v>5.2</v>
      </c>
      <c r="M59" s="7">
        <v>5.0999999999999996</v>
      </c>
      <c r="N59" s="7">
        <v>5.2</v>
      </c>
      <c r="O59" s="7">
        <v>5.0999999999999996</v>
      </c>
      <c r="P59" s="7">
        <v>5.2</v>
      </c>
      <c r="Q59" s="50">
        <f t="shared" si="7"/>
        <v>5.4477931369665571</v>
      </c>
      <c r="R59" s="41"/>
      <c r="U59" s="74">
        <f t="shared" si="6"/>
        <v>1.695210597672306</v>
      </c>
    </row>
    <row r="60" spans="1:21">
      <c r="A60" s="8" t="s">
        <v>11</v>
      </c>
      <c r="B60" s="29">
        <v>6.3593575554865822</v>
      </c>
      <c r="C60" s="29">
        <v>6.4</v>
      </c>
      <c r="D60" s="30">
        <v>5.6</v>
      </c>
      <c r="E60" s="30">
        <v>5.2</v>
      </c>
      <c r="F60" s="31">
        <v>4.9000000000000004</v>
      </c>
      <c r="G60" s="31">
        <v>5</v>
      </c>
      <c r="H60" s="31">
        <v>4.8</v>
      </c>
      <c r="I60" s="32">
        <v>4.9000000000000004</v>
      </c>
      <c r="J60" s="31">
        <v>4.8</v>
      </c>
      <c r="K60" s="32">
        <v>4.8</v>
      </c>
      <c r="L60" s="33">
        <v>4.8</v>
      </c>
      <c r="M60" s="7">
        <v>4.7</v>
      </c>
      <c r="N60" s="7">
        <v>4.8</v>
      </c>
      <c r="O60" s="7">
        <v>4.8</v>
      </c>
      <c r="P60" s="7">
        <v>4.8</v>
      </c>
      <c r="Q60" s="50">
        <f t="shared" si="7"/>
        <v>5.1106238370324375</v>
      </c>
      <c r="R60" s="42"/>
      <c r="U60" s="74">
        <f t="shared" si="6"/>
        <v>1.6313214783753041</v>
      </c>
    </row>
    <row r="61" spans="1:21">
      <c r="A61" s="8" t="s">
        <v>12</v>
      </c>
      <c r="B61" s="29">
        <v>6.3189844058681972</v>
      </c>
      <c r="C61" s="29">
        <v>6.3</v>
      </c>
      <c r="D61" s="30">
        <v>5.8</v>
      </c>
      <c r="E61" s="30">
        <v>5.4</v>
      </c>
      <c r="F61" s="31">
        <v>5.2</v>
      </c>
      <c r="G61" s="31">
        <v>5.0999999999999996</v>
      </c>
      <c r="H61" s="31">
        <v>5</v>
      </c>
      <c r="I61" s="32">
        <v>5.0999999999999996</v>
      </c>
      <c r="J61" s="31">
        <v>5</v>
      </c>
      <c r="K61" s="32">
        <v>4.9000000000000004</v>
      </c>
      <c r="L61" s="33">
        <v>4.9000000000000004</v>
      </c>
      <c r="M61" s="7">
        <v>4.8</v>
      </c>
      <c r="N61" s="7">
        <v>5</v>
      </c>
      <c r="O61" s="7">
        <v>4.9000000000000004</v>
      </c>
      <c r="P61" s="7">
        <v>4.9000000000000004</v>
      </c>
      <c r="Q61" s="50">
        <f t="shared" si="7"/>
        <v>5.2412656270578806</v>
      </c>
      <c r="R61" s="41"/>
      <c r="U61" s="74">
        <f t="shared" si="6"/>
        <v>1.6565630010500969</v>
      </c>
    </row>
    <row r="62" spans="1:21">
      <c r="A62" s="8" t="s">
        <v>13</v>
      </c>
      <c r="B62" s="29">
        <v>6.4246470947324665</v>
      </c>
      <c r="C62" s="29">
        <v>6.4</v>
      </c>
      <c r="D62" s="30">
        <v>5.7</v>
      </c>
      <c r="E62" s="30">
        <v>5.2</v>
      </c>
      <c r="F62" s="31">
        <v>5.0999999999999996</v>
      </c>
      <c r="G62" s="31">
        <v>5.0999999999999996</v>
      </c>
      <c r="H62" s="31">
        <v>4.8</v>
      </c>
      <c r="I62" s="32">
        <v>5</v>
      </c>
      <c r="J62" s="31">
        <v>4.9000000000000004</v>
      </c>
      <c r="K62" s="32">
        <v>4.8</v>
      </c>
      <c r="L62" s="33">
        <v>4.8</v>
      </c>
      <c r="M62" s="7">
        <v>4.8</v>
      </c>
      <c r="N62" s="7">
        <v>4.9000000000000004</v>
      </c>
      <c r="O62" s="7">
        <v>4.8</v>
      </c>
      <c r="P62" s="7">
        <v>4.7</v>
      </c>
      <c r="Q62" s="50">
        <f t="shared" si="7"/>
        <v>5.16164313964883</v>
      </c>
      <c r="R62" s="43"/>
      <c r="U62" s="74">
        <f t="shared" si="6"/>
        <v>1.6412549667193188</v>
      </c>
    </row>
    <row r="63" spans="1:21">
      <c r="A63" s="8" t="s">
        <v>14</v>
      </c>
      <c r="B63" s="29">
        <v>6.6203983951573164</v>
      </c>
      <c r="C63" s="29">
        <v>6.6</v>
      </c>
      <c r="D63" s="30">
        <v>6.2</v>
      </c>
      <c r="E63" s="30">
        <v>5.8</v>
      </c>
      <c r="F63" s="31">
        <v>5.7</v>
      </c>
      <c r="G63" s="31">
        <v>5.5</v>
      </c>
      <c r="H63" s="31">
        <v>5.0999999999999996</v>
      </c>
      <c r="I63" s="32">
        <v>4.7</v>
      </c>
      <c r="J63" s="31">
        <v>4.5999999999999996</v>
      </c>
      <c r="K63" s="32">
        <v>4.5999999999999996</v>
      </c>
      <c r="L63" s="33">
        <v>4.5</v>
      </c>
      <c r="M63" s="7">
        <v>4.4000000000000004</v>
      </c>
      <c r="N63" s="7">
        <v>4.5999999999999996</v>
      </c>
      <c r="O63" s="7">
        <v>4.5999999999999996</v>
      </c>
      <c r="P63" s="7">
        <v>4.5999999999999996</v>
      </c>
      <c r="Q63" s="50">
        <f>AVERAGE(B63:P63)</f>
        <v>5.2080265596771538</v>
      </c>
      <c r="R63" s="41"/>
      <c r="U63" s="74">
        <f t="shared" si="6"/>
        <v>1.6502010046776641</v>
      </c>
    </row>
    <row r="64" spans="1:21">
      <c r="A64" s="8" t="s">
        <v>15</v>
      </c>
      <c r="B64" s="29">
        <v>7.3537832658661317</v>
      </c>
      <c r="C64" s="29">
        <v>7.7</v>
      </c>
      <c r="D64" s="30">
        <v>6.3</v>
      </c>
      <c r="E64" s="30">
        <v>5.6</v>
      </c>
      <c r="F64" s="31">
        <v>5.6</v>
      </c>
      <c r="G64" s="31">
        <v>5.6</v>
      </c>
      <c r="H64" s="31">
        <v>5.5</v>
      </c>
      <c r="I64" s="32">
        <v>5.3</v>
      </c>
      <c r="J64" s="31">
        <v>5.3</v>
      </c>
      <c r="K64" s="32">
        <v>5.3</v>
      </c>
      <c r="L64" s="33">
        <v>5.2</v>
      </c>
      <c r="M64" s="7">
        <v>5.0999999999999996</v>
      </c>
      <c r="N64" s="7">
        <v>5.2</v>
      </c>
      <c r="O64" s="7">
        <v>5.2</v>
      </c>
      <c r="P64" s="7">
        <v>5</v>
      </c>
      <c r="Q64" s="50">
        <f t="shared" si="7"/>
        <v>5.6835855510577415</v>
      </c>
      <c r="R64" s="41"/>
      <c r="U64" s="74">
        <f t="shared" si="6"/>
        <v>1.7375822925619533</v>
      </c>
    </row>
    <row r="67" spans="1:21">
      <c r="A67" s="1" t="s">
        <v>66</v>
      </c>
      <c r="B67" s="1"/>
      <c r="C67" s="1"/>
      <c r="D67" s="1"/>
      <c r="E67" s="1"/>
      <c r="F67" s="1" t="s">
        <v>17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21" ht="17">
      <c r="A69" s="15"/>
      <c r="B69" s="35">
        <v>2008</v>
      </c>
      <c r="C69" s="35">
        <v>2009</v>
      </c>
      <c r="D69" s="35">
        <v>2010</v>
      </c>
      <c r="E69" s="35">
        <v>2011</v>
      </c>
      <c r="F69" s="35">
        <v>2012</v>
      </c>
      <c r="G69" s="35">
        <v>2013</v>
      </c>
      <c r="H69" s="35">
        <v>2014</v>
      </c>
      <c r="I69" s="35">
        <v>2015</v>
      </c>
      <c r="J69" s="35">
        <v>2016</v>
      </c>
      <c r="K69" s="35">
        <v>2017</v>
      </c>
      <c r="L69" s="35">
        <v>2018</v>
      </c>
      <c r="M69" s="35">
        <v>2019</v>
      </c>
      <c r="N69" s="35">
        <v>2020</v>
      </c>
      <c r="O69" s="35">
        <v>2021</v>
      </c>
      <c r="P69" s="51">
        <v>2022</v>
      </c>
      <c r="Q69" s="5" t="s">
        <v>56</v>
      </c>
      <c r="R69" s="44"/>
      <c r="S69" s="1"/>
    </row>
    <row r="70" spans="1:21">
      <c r="A70" s="52" t="s">
        <v>62</v>
      </c>
      <c r="B70" s="79">
        <v>8265935</v>
      </c>
      <c r="C70" s="80">
        <v>8662919</v>
      </c>
      <c r="D70" s="80">
        <v>8819620</v>
      </c>
      <c r="E70" s="80">
        <v>8973922</v>
      </c>
      <c r="F70" s="80">
        <v>9127543</v>
      </c>
      <c r="G70" s="80">
        <v>9277871</v>
      </c>
      <c r="H70" s="79">
        <v>9433575</v>
      </c>
      <c r="I70" s="79">
        <v>9837025</v>
      </c>
      <c r="J70" s="79">
        <v>10035577</v>
      </c>
      <c r="K70" s="80">
        <v>10331492</v>
      </c>
      <c r="L70" s="79">
        <v>10509796</v>
      </c>
      <c r="M70" s="80">
        <v>10698208</v>
      </c>
      <c r="N70" s="79">
        <v>10938652</v>
      </c>
      <c r="O70" s="79">
        <v>11151376</v>
      </c>
      <c r="P70" s="81">
        <v>11991238</v>
      </c>
      <c r="Q70" s="53">
        <f>AVERAGE(B70:P70)</f>
        <v>9870316.5999999996</v>
      </c>
      <c r="R70" s="36"/>
      <c r="S70" s="75">
        <f>Q70/1000000</f>
        <v>9.8703165999999989</v>
      </c>
      <c r="U70" s="74">
        <f t="shared" ref="U70:U86" si="8">LN(S70)</f>
        <v>2.2895319299319472</v>
      </c>
    </row>
    <row r="71" spans="1:21">
      <c r="A71" s="54" t="s">
        <v>1</v>
      </c>
      <c r="B71" s="79">
        <v>747447</v>
      </c>
      <c r="C71" s="80">
        <v>738827</v>
      </c>
      <c r="D71" s="80">
        <v>735134</v>
      </c>
      <c r="E71" s="80">
        <v>733281</v>
      </c>
      <c r="F71" s="80">
        <v>731399</v>
      </c>
      <c r="G71" s="80">
        <v>732768</v>
      </c>
      <c r="H71" s="79">
        <v>735612</v>
      </c>
      <c r="I71" s="79">
        <v>736560</v>
      </c>
      <c r="J71" s="79">
        <v>744420</v>
      </c>
      <c r="K71" s="80">
        <v>734369</v>
      </c>
      <c r="L71" s="79">
        <v>738942</v>
      </c>
      <c r="M71" s="80">
        <v>738587</v>
      </c>
      <c r="N71" s="79">
        <v>736735</v>
      </c>
      <c r="O71" s="82">
        <v>735566</v>
      </c>
      <c r="P71" s="81">
        <v>785708</v>
      </c>
      <c r="Q71" s="53">
        <f t="shared" ref="Q71:Q86" si="9">AVERAGE(B71:P71)</f>
        <v>740357</v>
      </c>
      <c r="R71" s="36"/>
      <c r="S71" s="75">
        <f t="shared" ref="S71:S86" si="10">Q71/1000000</f>
        <v>0.74035700000000004</v>
      </c>
      <c r="U71" s="74">
        <f t="shared" si="8"/>
        <v>-0.3006227766846013</v>
      </c>
    </row>
    <row r="72" spans="1:21">
      <c r="A72" s="54" t="s">
        <v>63</v>
      </c>
      <c r="B72" s="79">
        <v>703660</v>
      </c>
      <c r="C72" s="80">
        <v>756782</v>
      </c>
      <c r="D72" s="80">
        <v>763591</v>
      </c>
      <c r="E72" s="80">
        <v>777501</v>
      </c>
      <c r="F72" s="80">
        <v>786390</v>
      </c>
      <c r="G72" s="80">
        <v>795871</v>
      </c>
      <c r="H72" s="79">
        <v>808985</v>
      </c>
      <c r="I72" s="79">
        <v>822557</v>
      </c>
      <c r="J72" s="79">
        <v>834808</v>
      </c>
      <c r="K72" s="80">
        <v>845679</v>
      </c>
      <c r="L72" s="79">
        <v>857711</v>
      </c>
      <c r="M72" s="80">
        <v>869637</v>
      </c>
      <c r="N72" s="79">
        <v>881651</v>
      </c>
      <c r="O72" s="82">
        <v>894333</v>
      </c>
      <c r="P72" s="81">
        <v>916750</v>
      </c>
      <c r="Q72" s="53">
        <f t="shared" si="9"/>
        <v>821060.4</v>
      </c>
      <c r="R72" s="36"/>
      <c r="S72" s="75">
        <f t="shared" si="10"/>
        <v>0.82106040000000002</v>
      </c>
      <c r="U72" s="74">
        <f t="shared" si="8"/>
        <v>-0.19715860341724761</v>
      </c>
    </row>
    <row r="73" spans="1:21">
      <c r="A73" s="54" t="s">
        <v>3</v>
      </c>
      <c r="B73" s="79">
        <v>1643278</v>
      </c>
      <c r="C73" s="80">
        <v>1804005</v>
      </c>
      <c r="D73" s="80">
        <v>1836162</v>
      </c>
      <c r="E73" s="80">
        <v>1872844</v>
      </c>
      <c r="F73" s="80">
        <v>1908785</v>
      </c>
      <c r="G73" s="80">
        <v>1946831</v>
      </c>
      <c r="H73" s="79">
        <v>1984572</v>
      </c>
      <c r="I73" s="79">
        <v>1921888</v>
      </c>
      <c r="J73" s="79">
        <v>1947552</v>
      </c>
      <c r="K73" s="80">
        <v>1983465</v>
      </c>
      <c r="L73" s="79">
        <v>2017278</v>
      </c>
      <c r="M73" s="80">
        <v>2038935</v>
      </c>
      <c r="N73" s="79">
        <v>2055724</v>
      </c>
      <c r="O73" s="82">
        <v>2077967</v>
      </c>
      <c r="P73" s="81">
        <v>1478496</v>
      </c>
      <c r="Q73" s="53">
        <f t="shared" si="9"/>
        <v>1901185.4666666666</v>
      </c>
      <c r="R73" s="36"/>
      <c r="S73" s="75">
        <f t="shared" si="10"/>
        <v>1.9011854666666665</v>
      </c>
      <c r="U73" s="74">
        <f t="shared" si="8"/>
        <v>0.64247762143366816</v>
      </c>
    </row>
    <row r="74" spans="1:21">
      <c r="A74" s="54" t="s">
        <v>4</v>
      </c>
      <c r="B74" s="79">
        <v>490369</v>
      </c>
      <c r="C74" s="80">
        <v>509123</v>
      </c>
      <c r="D74" s="80">
        <v>520988</v>
      </c>
      <c r="E74" s="80">
        <v>532033</v>
      </c>
      <c r="F74" s="80">
        <v>542959</v>
      </c>
      <c r="G74" s="80">
        <v>555199</v>
      </c>
      <c r="H74" s="79">
        <v>567831</v>
      </c>
      <c r="I74" s="79">
        <v>581389</v>
      </c>
      <c r="J74" s="79">
        <v>594511</v>
      </c>
      <c r="K74" s="80">
        <v>607528</v>
      </c>
      <c r="L74" s="79">
        <v>620684</v>
      </c>
      <c r="M74" s="80">
        <v>633791</v>
      </c>
      <c r="N74" s="79">
        <v>645280</v>
      </c>
      <c r="O74" s="82">
        <v>657110</v>
      </c>
      <c r="P74" s="81">
        <v>681241</v>
      </c>
      <c r="Q74" s="53">
        <f t="shared" si="9"/>
        <v>582669.06666666665</v>
      </c>
      <c r="R74" s="36"/>
      <c r="S74" s="75">
        <f t="shared" si="10"/>
        <v>0.58266906666666662</v>
      </c>
      <c r="U74" s="74">
        <f t="shared" si="8"/>
        <v>-0.54013589245011406</v>
      </c>
    </row>
    <row r="75" spans="1:21">
      <c r="A75" s="54" t="s">
        <v>5</v>
      </c>
      <c r="B75" s="79">
        <v>615310</v>
      </c>
      <c r="C75" s="80">
        <v>598342</v>
      </c>
      <c r="D75" s="80">
        <v>603858</v>
      </c>
      <c r="E75" s="80">
        <v>608334</v>
      </c>
      <c r="F75" s="80">
        <v>612581</v>
      </c>
      <c r="G75" s="80">
        <v>617735</v>
      </c>
      <c r="H75" s="79">
        <v>624085</v>
      </c>
      <c r="I75" s="79">
        <v>630056</v>
      </c>
      <c r="J75" s="79">
        <v>636980</v>
      </c>
      <c r="K75" s="80">
        <v>641513</v>
      </c>
      <c r="L75" s="79">
        <v>646927</v>
      </c>
      <c r="M75" s="80">
        <v>652325</v>
      </c>
      <c r="N75" s="79">
        <v>656844</v>
      </c>
      <c r="O75" s="82">
        <v>661316</v>
      </c>
      <c r="P75" s="81">
        <v>683327</v>
      </c>
      <c r="Q75" s="53">
        <f t="shared" si="9"/>
        <v>632635.53333333333</v>
      </c>
      <c r="R75" s="36"/>
      <c r="S75" s="75">
        <f t="shared" si="10"/>
        <v>0.63263553333333333</v>
      </c>
      <c r="U75" s="74">
        <f t="shared" si="8"/>
        <v>-0.45786079938562546</v>
      </c>
    </row>
    <row r="76" spans="1:21">
      <c r="A76" s="54" t="s">
        <v>6</v>
      </c>
      <c r="B76" s="79">
        <v>1018845</v>
      </c>
      <c r="C76" s="80">
        <v>1020796</v>
      </c>
      <c r="D76" s="80">
        <v>1034487</v>
      </c>
      <c r="E76" s="80">
        <v>1046260</v>
      </c>
      <c r="F76" s="80">
        <v>1055822</v>
      </c>
      <c r="G76" s="80">
        <v>1069785</v>
      </c>
      <c r="H76" s="79">
        <v>1084369</v>
      </c>
      <c r="I76" s="79">
        <v>1098489</v>
      </c>
      <c r="J76" s="79">
        <v>1110749</v>
      </c>
      <c r="K76" s="80">
        <v>1115307</v>
      </c>
      <c r="L76" s="79">
        <v>1117218</v>
      </c>
      <c r="M76" s="80">
        <v>1125440</v>
      </c>
      <c r="N76" s="79">
        <v>1130099</v>
      </c>
      <c r="O76" s="82">
        <v>1139192</v>
      </c>
      <c r="P76" s="81">
        <v>1209665</v>
      </c>
      <c r="Q76" s="53">
        <f t="shared" si="9"/>
        <v>1091768.2</v>
      </c>
      <c r="R76" s="36"/>
      <c r="S76" s="75">
        <f t="shared" si="10"/>
        <v>1.0917682</v>
      </c>
      <c r="U76" s="74">
        <f t="shared" si="8"/>
        <v>8.7798583727751525E-2</v>
      </c>
    </row>
    <row r="77" spans="1:21">
      <c r="A77" s="54" t="s">
        <v>7</v>
      </c>
      <c r="B77" s="79">
        <v>1342081</v>
      </c>
      <c r="C77" s="80">
        <v>1341207</v>
      </c>
      <c r="D77" s="80">
        <v>1346822</v>
      </c>
      <c r="E77" s="80">
        <v>1352217</v>
      </c>
      <c r="F77" s="80">
        <v>1357969</v>
      </c>
      <c r="G77" s="80">
        <v>1362777</v>
      </c>
      <c r="H77" s="79">
        <v>1369658</v>
      </c>
      <c r="I77" s="79">
        <v>1378121</v>
      </c>
      <c r="J77" s="79">
        <v>1384810</v>
      </c>
      <c r="K77" s="80">
        <v>1382734</v>
      </c>
      <c r="L77" s="79">
        <v>1380537</v>
      </c>
      <c r="M77" s="80">
        <v>1378532</v>
      </c>
      <c r="N77" s="79">
        <v>1376882</v>
      </c>
      <c r="O77" s="82">
        <v>1375938</v>
      </c>
      <c r="P77" s="81">
        <v>1134966</v>
      </c>
      <c r="Q77" s="53">
        <f t="shared" si="9"/>
        <v>1351016.7333333334</v>
      </c>
      <c r="R77" s="36"/>
      <c r="S77" s="75">
        <f t="shared" si="10"/>
        <v>1.3510167333333334</v>
      </c>
      <c r="U77" s="74">
        <f t="shared" si="8"/>
        <v>0.30085744478835469</v>
      </c>
    </row>
    <row r="78" spans="1:21">
      <c r="A78" s="54" t="s">
        <v>8</v>
      </c>
      <c r="B78" s="79">
        <v>894192</v>
      </c>
      <c r="C78" s="80">
        <v>886329</v>
      </c>
      <c r="D78" s="80">
        <v>883379</v>
      </c>
      <c r="E78" s="80">
        <v>881656</v>
      </c>
      <c r="F78" s="80">
        <v>879635</v>
      </c>
      <c r="G78" s="80">
        <v>880116</v>
      </c>
      <c r="H78" s="79">
        <v>880968</v>
      </c>
      <c r="I78" s="79">
        <v>881569</v>
      </c>
      <c r="J78" s="79">
        <v>883806</v>
      </c>
      <c r="K78" s="80">
        <v>879134</v>
      </c>
      <c r="L78" s="79">
        <v>875616</v>
      </c>
      <c r="M78" s="80">
        <v>872795</v>
      </c>
      <c r="N78" s="79">
        <v>868549</v>
      </c>
      <c r="O78" s="82">
        <v>864550</v>
      </c>
      <c r="P78" s="81">
        <v>835686</v>
      </c>
      <c r="Q78" s="53">
        <f t="shared" si="9"/>
        <v>876532</v>
      </c>
      <c r="R78" s="36"/>
      <c r="S78" s="75">
        <f t="shared" si="10"/>
        <v>0.87653199999999998</v>
      </c>
      <c r="U78" s="74">
        <f t="shared" si="8"/>
        <v>-0.13178206644529428</v>
      </c>
    </row>
    <row r="79" spans="1:21">
      <c r="A79" s="54" t="s">
        <v>9</v>
      </c>
      <c r="B79" s="79">
        <v>632234</v>
      </c>
      <c r="C79" s="80">
        <v>677734</v>
      </c>
      <c r="D79" s="80">
        <v>689011</v>
      </c>
      <c r="E79" s="80">
        <v>700511</v>
      </c>
      <c r="F79" s="80">
        <v>712899</v>
      </c>
      <c r="G79" s="80">
        <v>726692</v>
      </c>
      <c r="H79" s="79">
        <v>739726</v>
      </c>
      <c r="I79" s="79">
        <v>753001</v>
      </c>
      <c r="J79" s="79">
        <v>765058</v>
      </c>
      <c r="K79" s="80">
        <v>773143</v>
      </c>
      <c r="L79" s="79">
        <v>783157</v>
      </c>
      <c r="M79" s="80">
        <v>794335</v>
      </c>
      <c r="N79" s="79">
        <v>803531</v>
      </c>
      <c r="O79" s="82">
        <v>814588</v>
      </c>
      <c r="P79" s="81">
        <v>823251</v>
      </c>
      <c r="Q79" s="53">
        <f t="shared" si="9"/>
        <v>745924.73333333328</v>
      </c>
      <c r="R79" s="36"/>
      <c r="S79" s="75">
        <f t="shared" si="10"/>
        <v>0.74592473333333331</v>
      </c>
      <c r="U79" s="74">
        <f t="shared" si="8"/>
        <v>-0.29313057752353255</v>
      </c>
    </row>
    <row r="80" spans="1:21">
      <c r="A80" s="54" t="s">
        <v>10</v>
      </c>
      <c r="B80" s="79">
        <v>407403</v>
      </c>
      <c r="C80" s="80">
        <v>482631</v>
      </c>
      <c r="D80" s="80">
        <v>503241</v>
      </c>
      <c r="E80" s="80">
        <v>524185</v>
      </c>
      <c r="F80" s="80">
        <v>545789</v>
      </c>
      <c r="G80" s="80">
        <v>567770</v>
      </c>
      <c r="H80" s="79">
        <v>587431</v>
      </c>
      <c r="I80" s="79">
        <v>606843</v>
      </c>
      <c r="J80" s="79">
        <v>626774</v>
      </c>
      <c r="K80" s="80">
        <v>642824</v>
      </c>
      <c r="L80" s="79">
        <v>660317</v>
      </c>
      <c r="M80" s="80">
        <v>678199</v>
      </c>
      <c r="N80" s="79">
        <v>698796</v>
      </c>
      <c r="O80" s="82">
        <v>719571</v>
      </c>
      <c r="P80" s="81">
        <v>745909</v>
      </c>
      <c r="Q80" s="53">
        <f t="shared" si="9"/>
        <v>599845.53333333333</v>
      </c>
      <c r="R80" s="36"/>
      <c r="S80" s="75">
        <f t="shared" si="10"/>
        <v>0.59984553333333335</v>
      </c>
      <c r="U80" s="74">
        <f t="shared" si="8"/>
        <v>-0.51108310135494484</v>
      </c>
    </row>
    <row r="81" spans="1:21">
      <c r="A81" s="54" t="s">
        <v>64</v>
      </c>
      <c r="B81" s="79">
        <v>2331505</v>
      </c>
      <c r="C81" s="80">
        <v>2462782</v>
      </c>
      <c r="D81" s="80">
        <v>2511580</v>
      </c>
      <c r="E81" s="80">
        <v>2567611</v>
      </c>
      <c r="F81" s="80">
        <v>2621472</v>
      </c>
      <c r="G81" s="80">
        <v>2678739</v>
      </c>
      <c r="H81" s="79">
        <v>2733053</v>
      </c>
      <c r="I81" s="79">
        <v>2787906</v>
      </c>
      <c r="J81" s="79">
        <v>2840871</v>
      </c>
      <c r="K81" s="80">
        <v>1966336</v>
      </c>
      <c r="L81" s="79">
        <v>1977028</v>
      </c>
      <c r="M81" s="80">
        <v>1983969</v>
      </c>
      <c r="N81" s="79">
        <v>2016037</v>
      </c>
      <c r="O81" s="82">
        <v>2044742</v>
      </c>
      <c r="P81" s="81">
        <v>2088510</v>
      </c>
      <c r="Q81" s="53">
        <f t="shared" si="9"/>
        <v>2374142.7333333334</v>
      </c>
      <c r="R81" s="36"/>
      <c r="S81" s="75">
        <f t="shared" si="10"/>
        <v>2.3741427333333336</v>
      </c>
      <c r="U81" s="74">
        <f t="shared" si="8"/>
        <v>0.86463641794092505</v>
      </c>
    </row>
    <row r="82" spans="1:21">
      <c r="A82" s="54" t="s">
        <v>11</v>
      </c>
      <c r="B82" s="79">
        <v>746454</v>
      </c>
      <c r="C82" s="80">
        <v>742276</v>
      </c>
      <c r="D82" s="80">
        <v>744395</v>
      </c>
      <c r="E82" s="80">
        <v>746224</v>
      </c>
      <c r="F82" s="80">
        <v>747167</v>
      </c>
      <c r="G82" s="80">
        <v>749201</v>
      </c>
      <c r="H82" s="79">
        <v>752914</v>
      </c>
      <c r="I82" s="79">
        <v>755793</v>
      </c>
      <c r="J82" s="79">
        <v>758594</v>
      </c>
      <c r="K82" s="80">
        <v>757014</v>
      </c>
      <c r="L82" s="79">
        <v>754854</v>
      </c>
      <c r="M82" s="80">
        <v>753853</v>
      </c>
      <c r="N82" s="79">
        <v>752169</v>
      </c>
      <c r="O82" s="82">
        <v>751012</v>
      </c>
      <c r="P82" s="81">
        <v>756511</v>
      </c>
      <c r="Q82" s="53">
        <f t="shared" si="9"/>
        <v>751228.73333333328</v>
      </c>
      <c r="R82" s="36"/>
      <c r="S82" s="75">
        <f t="shared" si="10"/>
        <v>0.75122873333333329</v>
      </c>
      <c r="U82" s="74">
        <f t="shared" si="8"/>
        <v>-0.28604510190834004</v>
      </c>
    </row>
    <row r="83" spans="1:21">
      <c r="A83" s="54" t="s">
        <v>12</v>
      </c>
      <c r="B83" s="79">
        <v>653921</v>
      </c>
      <c r="C83" s="80">
        <v>597534</v>
      </c>
      <c r="D83" s="80">
        <v>592791</v>
      </c>
      <c r="E83" s="80">
        <v>589421</v>
      </c>
      <c r="F83" s="80">
        <v>583772</v>
      </c>
      <c r="G83" s="80">
        <v>579700</v>
      </c>
      <c r="H83" s="79">
        <v>575945</v>
      </c>
      <c r="I83" s="79">
        <v>571830</v>
      </c>
      <c r="J83" s="79">
        <v>569594</v>
      </c>
      <c r="K83" s="80">
        <v>563300</v>
      </c>
      <c r="L83" s="79">
        <v>558584</v>
      </c>
      <c r="M83" s="80">
        <v>554517</v>
      </c>
      <c r="N83" s="79">
        <v>548755</v>
      </c>
      <c r="O83" s="82">
        <v>543735</v>
      </c>
      <c r="P83" s="81">
        <v>539111</v>
      </c>
      <c r="Q83" s="53">
        <f t="shared" si="9"/>
        <v>574834</v>
      </c>
      <c r="R83" s="36"/>
      <c r="S83" s="75">
        <f t="shared" si="10"/>
        <v>0.57483399999999996</v>
      </c>
      <c r="U83" s="74">
        <f t="shared" si="8"/>
        <v>-0.55367397551757258</v>
      </c>
    </row>
    <row r="84" spans="1:21">
      <c r="A84" s="54" t="s">
        <v>13</v>
      </c>
      <c r="B84" s="79">
        <v>1417384</v>
      </c>
      <c r="C84" s="80">
        <v>1396871</v>
      </c>
      <c r="D84" s="80">
        <v>1398073</v>
      </c>
      <c r="E84" s="80">
        <v>1398078</v>
      </c>
      <c r="F84" s="80">
        <v>1395060</v>
      </c>
      <c r="G84" s="80">
        <v>1394068</v>
      </c>
      <c r="H84" s="79">
        <v>1394388</v>
      </c>
      <c r="I84" s="79">
        <v>1395466</v>
      </c>
      <c r="J84" s="79">
        <v>1396019</v>
      </c>
      <c r="K84" s="80">
        <v>1389568</v>
      </c>
      <c r="L84" s="79">
        <v>1383745</v>
      </c>
      <c r="M84" s="80">
        <v>1378527</v>
      </c>
      <c r="N84" s="79">
        <v>1369597</v>
      </c>
      <c r="O84" s="82">
        <v>1363797</v>
      </c>
      <c r="P84" s="81">
        <v>732966</v>
      </c>
      <c r="Q84" s="53">
        <f t="shared" si="9"/>
        <v>1346907.1333333333</v>
      </c>
      <c r="R84" s="36"/>
      <c r="S84" s="75">
        <f t="shared" si="10"/>
        <v>1.3469071333333333</v>
      </c>
      <c r="U84" s="74">
        <f t="shared" si="8"/>
        <v>0.29781095172066757</v>
      </c>
    </row>
    <row r="85" spans="1:21">
      <c r="A85" s="54" t="s">
        <v>61</v>
      </c>
      <c r="B85" s="79">
        <v>602684</v>
      </c>
      <c r="C85" s="80">
        <v>605254</v>
      </c>
      <c r="D85" s="80">
        <v>649152</v>
      </c>
      <c r="E85" s="80">
        <v>697162</v>
      </c>
      <c r="F85" s="80">
        <v>742868</v>
      </c>
      <c r="G85" s="80">
        <v>778145</v>
      </c>
      <c r="H85" s="79">
        <v>814419</v>
      </c>
      <c r="I85" s="79">
        <v>852803</v>
      </c>
      <c r="J85" s="79">
        <v>872584</v>
      </c>
      <c r="K85" s="80">
        <v>972692</v>
      </c>
      <c r="L85" s="79">
        <v>1030577</v>
      </c>
      <c r="M85" s="80">
        <v>1078384</v>
      </c>
      <c r="N85" s="79">
        <v>1136156</v>
      </c>
      <c r="O85" s="82">
        <v>1184411</v>
      </c>
      <c r="P85" s="81">
        <v>1295711</v>
      </c>
      <c r="Q85" s="53">
        <f t="shared" si="9"/>
        <v>887533.46666666667</v>
      </c>
      <c r="R85" s="36"/>
      <c r="S85" s="75">
        <f t="shared" si="10"/>
        <v>0.88753346666666666</v>
      </c>
      <c r="U85" s="74">
        <f t="shared" si="8"/>
        <v>-0.11930904942334186</v>
      </c>
    </row>
    <row r="86" spans="1:21">
      <c r="A86" s="54" t="s">
        <v>65</v>
      </c>
      <c r="B86" s="79">
        <v>1324739</v>
      </c>
      <c r="C86" s="80">
        <v>1361877</v>
      </c>
      <c r="D86" s="80">
        <v>1390610</v>
      </c>
      <c r="E86" s="80">
        <v>1413152</v>
      </c>
      <c r="F86" s="80">
        <v>1449366</v>
      </c>
      <c r="G86" s="80">
        <v>1474849</v>
      </c>
      <c r="H86" s="79">
        <v>1506899</v>
      </c>
      <c r="I86" s="79">
        <v>1641444</v>
      </c>
      <c r="J86" s="79">
        <v>1702766</v>
      </c>
      <c r="K86" s="80">
        <v>1751308</v>
      </c>
      <c r="L86" s="79">
        <v>1801993</v>
      </c>
      <c r="M86" s="80">
        <v>1854656</v>
      </c>
      <c r="N86" s="79">
        <v>1916822</v>
      </c>
      <c r="O86" s="82">
        <v>1977258</v>
      </c>
      <c r="P86" s="81">
        <v>2101485</v>
      </c>
      <c r="Q86" s="53">
        <f t="shared" si="9"/>
        <v>1644614.9333333333</v>
      </c>
      <c r="R86" s="36"/>
      <c r="S86" s="75">
        <f t="shared" si="10"/>
        <v>1.6446149333333333</v>
      </c>
      <c r="U86" s="74">
        <f t="shared" si="8"/>
        <v>0.49750627373557421</v>
      </c>
    </row>
    <row r="89" spans="1:21">
      <c r="A89" s="1" t="s">
        <v>70</v>
      </c>
      <c r="B89" s="1"/>
      <c r="C89" s="1"/>
      <c r="D89" s="1" t="s">
        <v>18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21" ht="17">
      <c r="A91" s="15"/>
      <c r="B91" s="35">
        <v>2008</v>
      </c>
      <c r="C91" s="35">
        <v>2009</v>
      </c>
      <c r="D91" s="35">
        <v>2010</v>
      </c>
      <c r="E91" s="35">
        <v>2011</v>
      </c>
      <c r="F91" s="35">
        <v>2012</v>
      </c>
      <c r="G91" s="35">
        <v>2013</v>
      </c>
      <c r="H91" s="35">
        <v>2014</v>
      </c>
      <c r="I91" s="35">
        <v>2015</v>
      </c>
      <c r="J91" s="35">
        <v>2016</v>
      </c>
      <c r="K91" s="35">
        <v>2017</v>
      </c>
      <c r="L91" s="35">
        <v>2018</v>
      </c>
      <c r="M91" s="35">
        <v>2019</v>
      </c>
      <c r="N91" s="35">
        <v>2020</v>
      </c>
      <c r="O91" s="35">
        <v>2021</v>
      </c>
      <c r="P91" s="51">
        <v>2022</v>
      </c>
      <c r="Q91" s="5" t="s">
        <v>56</v>
      </c>
      <c r="R91" s="44"/>
      <c r="S91" s="1"/>
    </row>
    <row r="92" spans="1:21">
      <c r="A92" s="52" t="s">
        <v>62</v>
      </c>
      <c r="B92" s="55">
        <v>54.041015685958705</v>
      </c>
      <c r="C92" s="56">
        <v>52.920186430423023</v>
      </c>
      <c r="D92" s="56">
        <v>53.141729257926521</v>
      </c>
      <c r="E92" s="56">
        <v>53.371953478215652</v>
      </c>
      <c r="F92" s="56">
        <v>53.868112580277248</v>
      </c>
      <c r="G92" s="56">
        <v>53.466661573107807</v>
      </c>
      <c r="H92" s="55">
        <v>52.223301228289621</v>
      </c>
      <c r="I92" s="55">
        <v>51.031812360273463</v>
      </c>
      <c r="J92" s="55">
        <v>50.927538000223663</v>
      </c>
      <c r="K92" s="56">
        <v>50.381315905703552</v>
      </c>
      <c r="L92" s="55">
        <v>50.330249419284335</v>
      </c>
      <c r="M92" s="56">
        <v>50.128821797121013</v>
      </c>
      <c r="N92" s="55">
        <v>49.275192669470805</v>
      </c>
      <c r="O92" s="57">
        <v>49.030596700599673</v>
      </c>
      <c r="P92" s="9">
        <v>48.350115999156856</v>
      </c>
      <c r="Q92" s="58">
        <f>AVERAGE(B92:P92)</f>
        <v>51.499240205735454</v>
      </c>
      <c r="R92" s="37"/>
      <c r="U92" s="74">
        <f t="shared" ref="U92:U108" si="11">LN(Q92)</f>
        <v>3.9415670542741696</v>
      </c>
    </row>
    <row r="93" spans="1:21">
      <c r="A93" s="54" t="s">
        <v>1</v>
      </c>
      <c r="B93" s="55">
        <v>58.492441604555232</v>
      </c>
      <c r="C93" s="56">
        <v>58.944786803947338</v>
      </c>
      <c r="D93" s="56">
        <v>59.676195088242409</v>
      </c>
      <c r="E93" s="56">
        <v>60.372490218620143</v>
      </c>
      <c r="F93" s="56">
        <v>60.131337341177662</v>
      </c>
      <c r="G93" s="56">
        <v>60.307082186995068</v>
      </c>
      <c r="H93" s="55">
        <v>60.450753930060955</v>
      </c>
      <c r="I93" s="55">
        <v>58.36700336700337</v>
      </c>
      <c r="J93" s="55">
        <v>58.836543886515678</v>
      </c>
      <c r="K93" s="56">
        <v>58.400885658299849</v>
      </c>
      <c r="L93" s="55">
        <v>58.084666996868492</v>
      </c>
      <c r="M93" s="56">
        <v>57.982742723606016</v>
      </c>
      <c r="N93" s="55">
        <v>56.778081671157196</v>
      </c>
      <c r="O93" s="57">
        <v>56.7668978718429</v>
      </c>
      <c r="P93" s="9">
        <v>56.305904992694487</v>
      </c>
      <c r="Q93" s="58">
        <f t="shared" ref="Q93:Q108" si="12">AVERAGE(B93:P93)</f>
        <v>58.659854289439131</v>
      </c>
      <c r="R93" s="37"/>
      <c r="U93" s="74">
        <f t="shared" si="11"/>
        <v>4.0717555795612066</v>
      </c>
    </row>
    <row r="94" spans="1:21">
      <c r="A94" s="54" t="s">
        <v>63</v>
      </c>
      <c r="B94" s="55">
        <v>55.96452832333798</v>
      </c>
      <c r="C94" s="56">
        <v>52.498605939359024</v>
      </c>
      <c r="D94" s="56">
        <v>52.370968227755434</v>
      </c>
      <c r="E94" s="56">
        <v>53.479030895137114</v>
      </c>
      <c r="F94" s="56">
        <v>54.982133546967795</v>
      </c>
      <c r="G94" s="56">
        <v>54.547282160048546</v>
      </c>
      <c r="H94" s="55">
        <v>53.26872562532062</v>
      </c>
      <c r="I94" s="55">
        <v>51.858412243771554</v>
      </c>
      <c r="J94" s="55">
        <v>51.423920230759649</v>
      </c>
      <c r="K94" s="56">
        <v>50.783335047931899</v>
      </c>
      <c r="L94" s="55">
        <v>51.141118628535722</v>
      </c>
      <c r="M94" s="56">
        <v>50.284429020384366</v>
      </c>
      <c r="N94" s="55">
        <v>49.596495665518439</v>
      </c>
      <c r="O94" s="57">
        <v>49.309932653720708</v>
      </c>
      <c r="P94" s="9">
        <v>48.671938914644123</v>
      </c>
      <c r="Q94" s="58">
        <f t="shared" si="12"/>
        <v>52.012057141546194</v>
      </c>
      <c r="R94" s="37"/>
      <c r="U94" s="74">
        <f t="shared" si="11"/>
        <v>3.95147555981083</v>
      </c>
    </row>
    <row r="95" spans="1:21">
      <c r="A95" s="54" t="s">
        <v>3</v>
      </c>
      <c r="B95" s="55">
        <v>51.981466313064494</v>
      </c>
      <c r="C95" s="56">
        <v>47.860177771125912</v>
      </c>
      <c r="D95" s="56">
        <v>48.650391414265194</v>
      </c>
      <c r="E95" s="56">
        <v>50.564809455565971</v>
      </c>
      <c r="F95" s="56">
        <v>53.476688050251866</v>
      </c>
      <c r="G95" s="56">
        <v>53.654939745668727</v>
      </c>
      <c r="H95" s="55">
        <v>53.678878871615645</v>
      </c>
      <c r="I95" s="55">
        <v>51.644476681263427</v>
      </c>
      <c r="J95" s="55">
        <v>53.132804669657084</v>
      </c>
      <c r="K95" s="56">
        <v>52.309014779691097</v>
      </c>
      <c r="L95" s="55">
        <v>51.714686820557212</v>
      </c>
      <c r="M95" s="56">
        <v>50.94448817642543</v>
      </c>
      <c r="N95" s="55">
        <v>49.750355592482258</v>
      </c>
      <c r="O95" s="57">
        <v>49.159442859294685</v>
      </c>
      <c r="P95" s="9">
        <v>49.496244832586626</v>
      </c>
      <c r="Q95" s="58">
        <f t="shared" si="12"/>
        <v>51.201257735567715</v>
      </c>
      <c r="R95" s="37"/>
      <c r="U95" s="74">
        <f t="shared" si="11"/>
        <v>3.9357640968915506</v>
      </c>
    </row>
    <row r="96" spans="1:21">
      <c r="A96" s="54" t="s">
        <v>4</v>
      </c>
      <c r="B96" s="55">
        <v>52.42990482677331</v>
      </c>
      <c r="C96" s="56">
        <v>50.65573545096175</v>
      </c>
      <c r="D96" s="56">
        <v>51.978164564250996</v>
      </c>
      <c r="E96" s="56">
        <v>53.229780859457968</v>
      </c>
      <c r="F96" s="56">
        <v>53.739969316283556</v>
      </c>
      <c r="G96" s="56">
        <v>53.004418235623618</v>
      </c>
      <c r="H96" s="55">
        <v>53.061562331045685</v>
      </c>
      <c r="I96" s="55">
        <v>53.669574071748862</v>
      </c>
      <c r="J96" s="55">
        <v>52.441250035743657</v>
      </c>
      <c r="K96" s="56">
        <v>51.966493725392084</v>
      </c>
      <c r="L96" s="55">
        <v>51.50720817678561</v>
      </c>
      <c r="M96" s="56">
        <v>52.438579910412109</v>
      </c>
      <c r="N96" s="55">
        <v>51.256663773865604</v>
      </c>
      <c r="O96" s="57">
        <v>50.835933101002873</v>
      </c>
      <c r="P96" s="9">
        <v>50.393326297154751</v>
      </c>
      <c r="Q96" s="58">
        <f t="shared" si="12"/>
        <v>52.17390431176684</v>
      </c>
      <c r="R96" s="37"/>
      <c r="U96" s="74">
        <f t="shared" si="11"/>
        <v>3.9545824524891255</v>
      </c>
    </row>
    <row r="97" spans="1:21">
      <c r="A97" s="54" t="s">
        <v>5</v>
      </c>
      <c r="B97" s="55">
        <v>53.972794201296907</v>
      </c>
      <c r="C97" s="56">
        <v>55.804205621534173</v>
      </c>
      <c r="D97" s="56">
        <v>55.377257567176386</v>
      </c>
      <c r="E97" s="56">
        <v>54.821857729470977</v>
      </c>
      <c r="F97" s="56">
        <v>54.281637856871171</v>
      </c>
      <c r="G97" s="56">
        <v>53.967963608990907</v>
      </c>
      <c r="H97" s="55">
        <v>53.448809056458657</v>
      </c>
      <c r="I97" s="55">
        <v>51.737782038421983</v>
      </c>
      <c r="J97" s="55">
        <v>52.740117429118648</v>
      </c>
      <c r="K97" s="56">
        <v>52.470487737582872</v>
      </c>
      <c r="L97" s="55">
        <v>52.154879916899432</v>
      </c>
      <c r="M97" s="56">
        <v>51.816502510251794</v>
      </c>
      <c r="N97" s="55">
        <v>51.437023098330805</v>
      </c>
      <c r="O97" s="57">
        <v>51.215001602864596</v>
      </c>
      <c r="P97" s="9">
        <v>50.971204123355285</v>
      </c>
      <c r="Q97" s="58">
        <f t="shared" si="12"/>
        <v>53.08116827324163</v>
      </c>
      <c r="R97" s="37"/>
      <c r="U97" s="74">
        <f t="shared" si="11"/>
        <v>3.9718222188910071</v>
      </c>
    </row>
    <row r="98" spans="1:21">
      <c r="A98" s="54" t="s">
        <v>6</v>
      </c>
      <c r="B98" s="55">
        <v>55.661067188826564</v>
      </c>
      <c r="C98" s="56">
        <v>56.524516161897189</v>
      </c>
      <c r="D98" s="56">
        <v>56.520768264850119</v>
      </c>
      <c r="E98" s="56">
        <v>56.3339896392866</v>
      </c>
      <c r="F98" s="56">
        <v>56.061722525198377</v>
      </c>
      <c r="G98" s="56">
        <v>54.307547778291898</v>
      </c>
      <c r="H98" s="55">
        <v>51.432676515097718</v>
      </c>
      <c r="I98" s="55">
        <v>47.812039993117814</v>
      </c>
      <c r="J98" s="55">
        <v>47.420704407566426</v>
      </c>
      <c r="K98" s="56">
        <v>47.616216880195317</v>
      </c>
      <c r="L98" s="55">
        <v>47.708683533562834</v>
      </c>
      <c r="M98" s="56">
        <v>47.313495166334945</v>
      </c>
      <c r="N98" s="55">
        <v>46.853328779160059</v>
      </c>
      <c r="O98" s="57">
        <v>46.37778355185079</v>
      </c>
      <c r="P98" s="9">
        <v>46.930348484911107</v>
      </c>
      <c r="Q98" s="58">
        <f t="shared" si="12"/>
        <v>50.991659258009854</v>
      </c>
      <c r="R98" s="37"/>
      <c r="U98" s="74">
        <f t="shared" si="11"/>
        <v>3.9316620753889628</v>
      </c>
    </row>
    <row r="99" spans="1:21">
      <c r="A99" s="54" t="s">
        <v>7</v>
      </c>
      <c r="B99" s="55">
        <v>55.533160815181795</v>
      </c>
      <c r="C99" s="56">
        <v>55.211462511006879</v>
      </c>
      <c r="D99" s="56">
        <v>55.307976852174967</v>
      </c>
      <c r="E99" s="56">
        <v>54.665782193242649</v>
      </c>
      <c r="F99" s="56">
        <v>54.562291186323108</v>
      </c>
      <c r="G99" s="56">
        <v>54.602477147765192</v>
      </c>
      <c r="H99" s="55">
        <v>52.06314276994695</v>
      </c>
      <c r="I99" s="55">
        <v>51.352602565377062</v>
      </c>
      <c r="J99" s="55">
        <v>49.872690116333651</v>
      </c>
      <c r="K99" s="56">
        <v>49.539535442102384</v>
      </c>
      <c r="L99" s="55">
        <v>49.644015336061258</v>
      </c>
      <c r="M99" s="56">
        <v>49.251450093287644</v>
      </c>
      <c r="N99" s="55">
        <v>48.839697228956439</v>
      </c>
      <c r="O99" s="57">
        <v>48.940577264382554</v>
      </c>
      <c r="P99" s="9">
        <v>49.305441748915833</v>
      </c>
      <c r="Q99" s="58">
        <f t="shared" si="12"/>
        <v>51.912820218070557</v>
      </c>
      <c r="R99" s="37"/>
      <c r="U99" s="74">
        <f t="shared" si="11"/>
        <v>3.9495657773572175</v>
      </c>
    </row>
    <row r="100" spans="1:21">
      <c r="A100" s="54" t="s">
        <v>8</v>
      </c>
      <c r="B100" s="55">
        <v>62.134306726072253</v>
      </c>
      <c r="C100" s="56">
        <v>61.489582310857486</v>
      </c>
      <c r="D100" s="56">
        <v>61.525121154113918</v>
      </c>
      <c r="E100" s="56">
        <v>61.452539312384879</v>
      </c>
      <c r="F100" s="56">
        <v>61.338850773332119</v>
      </c>
      <c r="G100" s="56">
        <v>60.341477714301291</v>
      </c>
      <c r="H100" s="55">
        <v>59.021440052306104</v>
      </c>
      <c r="I100" s="55">
        <v>57.881232212112721</v>
      </c>
      <c r="J100" s="55">
        <v>58.74151114611125</v>
      </c>
      <c r="K100" s="56">
        <v>58.819019626132075</v>
      </c>
      <c r="L100" s="55">
        <v>58.552150714468439</v>
      </c>
      <c r="M100" s="56">
        <v>58.307735493443481</v>
      </c>
      <c r="N100" s="55">
        <v>56.469928582037397</v>
      </c>
      <c r="O100" s="57">
        <v>57.752356717367412</v>
      </c>
      <c r="P100" s="9">
        <v>57.078854976629977</v>
      </c>
      <c r="Q100" s="58">
        <f t="shared" si="12"/>
        <v>59.393740500778058</v>
      </c>
      <c r="R100" s="37"/>
      <c r="U100" s="74">
        <f t="shared" si="11"/>
        <v>4.0841888420410859</v>
      </c>
    </row>
    <row r="101" spans="1:21">
      <c r="A101" s="54" t="s">
        <v>9</v>
      </c>
      <c r="B101" s="55">
        <v>48.257448982496989</v>
      </c>
      <c r="C101" s="56">
        <v>45.35702797852845</v>
      </c>
      <c r="D101" s="56">
        <v>46.066027973428582</v>
      </c>
      <c r="E101" s="56">
        <v>48.17911496036465</v>
      </c>
      <c r="F101" s="56">
        <v>48.765112589581413</v>
      </c>
      <c r="G101" s="56">
        <v>48.523996411134291</v>
      </c>
      <c r="H101" s="55">
        <v>44.285722010582298</v>
      </c>
      <c r="I101" s="55">
        <v>43.079225658398862</v>
      </c>
      <c r="J101" s="55">
        <v>45.176052011742904</v>
      </c>
      <c r="K101" s="56">
        <v>44.934895614394748</v>
      </c>
      <c r="L101" s="55">
        <v>44.655796985789571</v>
      </c>
      <c r="M101" s="56">
        <v>43.951859102267939</v>
      </c>
      <c r="N101" s="55">
        <v>43.098274988768324</v>
      </c>
      <c r="O101" s="57">
        <v>42.610006530908876</v>
      </c>
      <c r="P101" s="9">
        <v>42.174257911621119</v>
      </c>
      <c r="Q101" s="58">
        <f t="shared" si="12"/>
        <v>45.274321314000602</v>
      </c>
      <c r="R101" s="37"/>
      <c r="U101" s="74">
        <f t="shared" si="11"/>
        <v>3.812740013353435</v>
      </c>
    </row>
    <row r="102" spans="1:21">
      <c r="A102" s="54" t="s">
        <v>10</v>
      </c>
      <c r="B102" s="55">
        <v>49.533263132573893</v>
      </c>
      <c r="C102" s="56">
        <v>43.304304945185869</v>
      </c>
      <c r="D102" s="56">
        <v>43.577530447638409</v>
      </c>
      <c r="E102" s="56">
        <v>46.147829487680873</v>
      </c>
      <c r="F102" s="56">
        <v>49.787372043042275</v>
      </c>
      <c r="G102" s="56">
        <v>48.298254574915902</v>
      </c>
      <c r="H102" s="55">
        <v>44.561999622083285</v>
      </c>
      <c r="I102" s="55">
        <v>48.096295087856333</v>
      </c>
      <c r="J102" s="55">
        <v>46.639618107962363</v>
      </c>
      <c r="K102" s="56">
        <v>45.43047552673827</v>
      </c>
      <c r="L102" s="55">
        <v>48.493829478871511</v>
      </c>
      <c r="M102" s="56">
        <v>47.312514468467221</v>
      </c>
      <c r="N102" s="55">
        <v>46.397661119983511</v>
      </c>
      <c r="O102" s="57">
        <v>48.444142412631969</v>
      </c>
      <c r="P102" s="9">
        <v>46.989646190084848</v>
      </c>
      <c r="Q102" s="58">
        <f t="shared" si="12"/>
        <v>46.867649109714435</v>
      </c>
      <c r="R102" s="37"/>
      <c r="U102" s="74">
        <f t="shared" si="11"/>
        <v>3.8473276530004323</v>
      </c>
    </row>
    <row r="103" spans="1:21">
      <c r="A103" s="54" t="s">
        <v>64</v>
      </c>
      <c r="B103" s="55">
        <v>47.977593871769528</v>
      </c>
      <c r="C103" s="56">
        <v>45.992702561574674</v>
      </c>
      <c r="D103" s="56">
        <v>35.485590743675296</v>
      </c>
      <c r="E103" s="56">
        <v>35.737422841699932</v>
      </c>
      <c r="F103" s="56">
        <v>36.285338924085394</v>
      </c>
      <c r="G103" s="56">
        <v>35.616683820260207</v>
      </c>
      <c r="H103" s="55">
        <v>33.939554044506274</v>
      </c>
      <c r="I103" s="55">
        <v>29.611256620560379</v>
      </c>
      <c r="J103" s="55">
        <v>29.289080707994131</v>
      </c>
      <c r="K103" s="56">
        <v>41.783296445775292</v>
      </c>
      <c r="L103" s="55">
        <v>42.085544564872123</v>
      </c>
      <c r="M103" s="56">
        <v>41.643241401453352</v>
      </c>
      <c r="N103" s="55">
        <v>40.764331210191088</v>
      </c>
      <c r="O103" s="57">
        <v>40.073221951718111</v>
      </c>
      <c r="P103" s="9">
        <v>39.990232270853383</v>
      </c>
      <c r="Q103" s="58">
        <f t="shared" si="12"/>
        <v>38.418339465399278</v>
      </c>
      <c r="R103" s="37"/>
      <c r="U103" s="74">
        <f t="shared" si="11"/>
        <v>3.6485349358285317</v>
      </c>
    </row>
    <row r="104" spans="1:21">
      <c r="A104" s="54" t="s">
        <v>11</v>
      </c>
      <c r="B104" s="55">
        <v>57.833436487713911</v>
      </c>
      <c r="C104" s="56">
        <v>58.401457139931779</v>
      </c>
      <c r="D104" s="56">
        <v>59.202439565015887</v>
      </c>
      <c r="E104" s="56">
        <v>59.110937198481963</v>
      </c>
      <c r="F104" s="56">
        <v>58.782842389987778</v>
      </c>
      <c r="G104" s="56">
        <v>58.729232876090663</v>
      </c>
      <c r="H104" s="55">
        <v>58.606560643048212</v>
      </c>
      <c r="I104" s="55">
        <v>56.387794012381697</v>
      </c>
      <c r="J104" s="55">
        <v>55.55474997165809</v>
      </c>
      <c r="K104" s="56">
        <v>54.993831025582082</v>
      </c>
      <c r="L104" s="55">
        <v>54.70687046766659</v>
      </c>
      <c r="M104" s="56">
        <v>54.345475842107149</v>
      </c>
      <c r="N104" s="55">
        <v>54.072688451664455</v>
      </c>
      <c r="O104" s="57">
        <v>53.675973220134964</v>
      </c>
      <c r="P104" s="9">
        <v>53.32374545776598</v>
      </c>
      <c r="Q104" s="58">
        <f t="shared" si="12"/>
        <v>56.515202316615415</v>
      </c>
      <c r="R104" s="37"/>
      <c r="U104" s="74">
        <f t="shared" si="11"/>
        <v>4.0345096695109293</v>
      </c>
    </row>
    <row r="105" spans="1:21">
      <c r="A105" s="54" t="s">
        <v>12</v>
      </c>
      <c r="B105" s="55">
        <v>59.609647036874478</v>
      </c>
      <c r="C105" s="56">
        <v>63.996358366218487</v>
      </c>
      <c r="D105" s="56">
        <v>64.120406686336324</v>
      </c>
      <c r="E105" s="56">
        <v>62.128767044268862</v>
      </c>
      <c r="F105" s="56">
        <v>59.879199413469642</v>
      </c>
      <c r="G105" s="56">
        <v>59.837157150250128</v>
      </c>
      <c r="H105" s="55">
        <v>57.340718297754123</v>
      </c>
      <c r="I105" s="55">
        <v>57.644929437070459</v>
      </c>
      <c r="J105" s="55">
        <v>55.99321622067648</v>
      </c>
      <c r="K105" s="56">
        <v>55.088230072785372</v>
      </c>
      <c r="L105" s="55">
        <v>55.735395213611561</v>
      </c>
      <c r="M105" s="56">
        <v>55.59054095726551</v>
      </c>
      <c r="N105" s="55">
        <v>55.46573607529772</v>
      </c>
      <c r="O105" s="57">
        <v>55.529991631953067</v>
      </c>
      <c r="P105" s="9">
        <v>54.404380545008358</v>
      </c>
      <c r="Q105" s="58">
        <f t="shared" si="12"/>
        <v>58.157644943256038</v>
      </c>
      <c r="R105" s="37"/>
      <c r="U105" s="74">
        <f t="shared" si="11"/>
        <v>4.0631573396828538</v>
      </c>
    </row>
    <row r="106" spans="1:21">
      <c r="A106" s="54" t="s">
        <v>13</v>
      </c>
      <c r="B106" s="55">
        <v>53.972670779407693</v>
      </c>
      <c r="C106" s="56">
        <v>54.693668921468053</v>
      </c>
      <c r="D106" s="56">
        <v>55.061502510956153</v>
      </c>
      <c r="E106" s="56">
        <v>54.181526352606937</v>
      </c>
      <c r="F106" s="56">
        <v>53.652602755437037</v>
      </c>
      <c r="G106" s="56">
        <v>53.511306478593582</v>
      </c>
      <c r="H106" s="55">
        <v>53.135210572666999</v>
      </c>
      <c r="I106" s="55">
        <v>51.275129598284728</v>
      </c>
      <c r="J106" s="55">
        <v>51.518926318338075</v>
      </c>
      <c r="K106" s="56">
        <v>51.979176261974949</v>
      </c>
      <c r="L106" s="55">
        <v>51.570195375593045</v>
      </c>
      <c r="M106" s="56">
        <v>51.870438518795794</v>
      </c>
      <c r="N106" s="55">
        <v>51.370877710742647</v>
      </c>
      <c r="O106" s="57">
        <v>51.460224652202633</v>
      </c>
      <c r="P106" s="9">
        <v>52.471738116092695</v>
      </c>
      <c r="Q106" s="58">
        <f t="shared" si="12"/>
        <v>52.781679661544075</v>
      </c>
      <c r="R106" s="37"/>
      <c r="U106" s="74">
        <f t="shared" si="11"/>
        <v>3.9661641543949586</v>
      </c>
    </row>
    <row r="107" spans="1:21">
      <c r="A107" s="54" t="s">
        <v>61</v>
      </c>
      <c r="B107" s="55">
        <v>58.936358025101043</v>
      </c>
      <c r="C107" s="56">
        <v>61.379189563389914</v>
      </c>
      <c r="D107" s="56">
        <v>60.186212166025832</v>
      </c>
      <c r="E107" s="56">
        <v>57.174659548282889</v>
      </c>
      <c r="F107" s="56">
        <v>56.211063069078229</v>
      </c>
      <c r="G107" s="56">
        <v>55.834066915549165</v>
      </c>
      <c r="H107" s="55">
        <v>55.812916938332727</v>
      </c>
      <c r="I107" s="55">
        <v>57.320858392852749</v>
      </c>
      <c r="J107" s="55">
        <v>56.007788361922749</v>
      </c>
      <c r="K107" s="56">
        <v>53.613271210208367</v>
      </c>
      <c r="L107" s="55">
        <v>51.565870381349477</v>
      </c>
      <c r="M107" s="56">
        <v>53.679858009762761</v>
      </c>
      <c r="N107" s="55">
        <v>51.974816838532732</v>
      </c>
      <c r="O107" s="57">
        <v>51.369921420858134</v>
      </c>
      <c r="P107" s="9">
        <v>50.589984958065493</v>
      </c>
      <c r="Q107" s="58">
        <f t="shared" si="12"/>
        <v>55.443789053287489</v>
      </c>
      <c r="R107" s="37"/>
      <c r="U107" s="74">
        <f t="shared" si="11"/>
        <v>4.0153696976632451</v>
      </c>
    </row>
    <row r="108" spans="1:21">
      <c r="A108" s="54" t="s">
        <v>65</v>
      </c>
      <c r="B108" s="55">
        <v>53.255773401402081</v>
      </c>
      <c r="C108" s="56">
        <v>51.906302845264293</v>
      </c>
      <c r="D108" s="56">
        <v>51.948425511106635</v>
      </c>
      <c r="E108" s="56">
        <v>52.428896537668976</v>
      </c>
      <c r="F108" s="56">
        <v>53.449508267752933</v>
      </c>
      <c r="G108" s="56">
        <v>53.396449399226633</v>
      </c>
      <c r="H108" s="55">
        <v>53.701077510835162</v>
      </c>
      <c r="I108" s="55">
        <v>53.916185992333574</v>
      </c>
      <c r="J108" s="55">
        <v>53.810623420951551</v>
      </c>
      <c r="K108" s="56">
        <v>53.627916962635922</v>
      </c>
      <c r="L108" s="55">
        <v>53.367188440798607</v>
      </c>
      <c r="M108" s="56">
        <v>53.194177249042404</v>
      </c>
      <c r="N108" s="55">
        <v>52.770001596392355</v>
      </c>
      <c r="O108" s="57">
        <v>52.410257032719045</v>
      </c>
      <c r="P108" s="9">
        <v>50.012253239970782</v>
      </c>
      <c r="Q108" s="58">
        <f t="shared" si="12"/>
        <v>52.879669160540061</v>
      </c>
      <c r="R108" s="37"/>
      <c r="U108" s="74">
        <f t="shared" si="11"/>
        <v>3.9680189391044203</v>
      </c>
    </row>
    <row r="111" spans="1:21">
      <c r="A111" s="1" t="s">
        <v>67</v>
      </c>
      <c r="B111" s="1"/>
      <c r="C111" s="1" t="s">
        <v>17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21" ht="17">
      <c r="A113" s="15"/>
      <c r="B113" s="15">
        <v>2008</v>
      </c>
      <c r="C113" s="15">
        <v>2009</v>
      </c>
      <c r="D113" s="15">
        <v>2010</v>
      </c>
      <c r="E113" s="15">
        <v>2011</v>
      </c>
      <c r="F113" s="15">
        <v>2012</v>
      </c>
      <c r="G113" s="15">
        <v>2013</v>
      </c>
      <c r="H113" s="15">
        <v>2014</v>
      </c>
      <c r="I113" s="15">
        <v>2015</v>
      </c>
      <c r="J113" s="15">
        <v>2016</v>
      </c>
      <c r="K113" s="15">
        <v>2017</v>
      </c>
      <c r="L113" s="15">
        <v>2018</v>
      </c>
      <c r="M113" s="15">
        <v>2019</v>
      </c>
      <c r="N113" s="15">
        <v>2020</v>
      </c>
      <c r="O113" s="15">
        <v>2021</v>
      </c>
      <c r="P113" s="15">
        <v>2022</v>
      </c>
      <c r="Q113" s="5" t="s">
        <v>56</v>
      </c>
      <c r="R113" s="1"/>
      <c r="S113" s="1"/>
    </row>
    <row r="114" spans="1:21">
      <c r="A114" s="46" t="s">
        <v>0</v>
      </c>
      <c r="B114" s="34">
        <v>8415000</v>
      </c>
      <c r="C114" s="34">
        <v>8457900</v>
      </c>
      <c r="D114" s="34">
        <v>8610700</v>
      </c>
      <c r="E114" s="33">
        <v>8774600</v>
      </c>
      <c r="F114" s="33">
        <v>8981933</v>
      </c>
      <c r="G114" s="33">
        <v>9041344</v>
      </c>
      <c r="H114" s="33">
        <v>8961965</v>
      </c>
      <c r="I114" s="33">
        <v>8887555</v>
      </c>
      <c r="J114" s="33">
        <v>8998843</v>
      </c>
      <c r="K114" s="33">
        <v>9027432</v>
      </c>
      <c r="L114" s="33">
        <v>9138633</v>
      </c>
      <c r="M114" s="33">
        <v>9221481</v>
      </c>
      <c r="N114" s="33">
        <v>9180845</v>
      </c>
      <c r="O114" s="33">
        <v>9256757</v>
      </c>
      <c r="P114" s="9">
        <v>9429800</v>
      </c>
      <c r="Q114" s="33">
        <f>AVERAGE(B114:P114)</f>
        <v>8958985.8666666672</v>
      </c>
      <c r="R114" s="45"/>
      <c r="S114" s="75">
        <f>Q114/1000000</f>
        <v>8.9589858666666675</v>
      </c>
      <c r="U114" s="74">
        <f t="shared" ref="U114:U130" si="13">LN(S114)</f>
        <v>2.1926570360571782</v>
      </c>
    </row>
    <row r="115" spans="1:21">
      <c r="A115" s="8" t="s">
        <v>1</v>
      </c>
      <c r="B115" s="34">
        <v>437200</v>
      </c>
      <c r="C115" s="34">
        <v>435500</v>
      </c>
      <c r="D115" s="34">
        <v>438700</v>
      </c>
      <c r="E115" s="33">
        <v>442700</v>
      </c>
      <c r="F115" s="33">
        <v>439800</v>
      </c>
      <c r="G115" s="33">
        <v>441911</v>
      </c>
      <c r="H115" s="33">
        <v>444683</v>
      </c>
      <c r="I115" s="33">
        <v>429908</v>
      </c>
      <c r="J115" s="33">
        <v>437991</v>
      </c>
      <c r="K115" s="33">
        <v>428878</v>
      </c>
      <c r="L115" s="33">
        <v>429212</v>
      </c>
      <c r="M115" s="33">
        <v>428253</v>
      </c>
      <c r="N115" s="33">
        <v>418304</v>
      </c>
      <c r="O115" s="33">
        <v>417558</v>
      </c>
      <c r="P115" s="9">
        <v>442400</v>
      </c>
      <c r="Q115" s="33">
        <f t="shared" ref="Q115:Q130" si="14">AVERAGE(B115:P115)</f>
        <v>434199.86666666664</v>
      </c>
      <c r="R115" s="45"/>
      <c r="S115" s="75">
        <f t="shared" ref="S115:S130" si="15">Q115/1000000</f>
        <v>0.43419986666666666</v>
      </c>
      <c r="U115" s="74">
        <f t="shared" si="13"/>
        <v>-0.83425032861614412</v>
      </c>
    </row>
    <row r="116" spans="1:21">
      <c r="A116" s="8" t="s">
        <v>2</v>
      </c>
      <c r="B116" s="34">
        <v>393800</v>
      </c>
      <c r="C116" s="34">
        <v>397300</v>
      </c>
      <c r="D116" s="34">
        <v>399900</v>
      </c>
      <c r="E116" s="33">
        <v>415800</v>
      </c>
      <c r="F116" s="33">
        <v>432374</v>
      </c>
      <c r="G116" s="33">
        <v>434126</v>
      </c>
      <c r="H116" s="33">
        <v>430936</v>
      </c>
      <c r="I116" s="33">
        <v>426565</v>
      </c>
      <c r="J116" s="33">
        <v>429291</v>
      </c>
      <c r="K116" s="33">
        <v>429464</v>
      </c>
      <c r="L116" s="33">
        <v>438643</v>
      </c>
      <c r="M116" s="33">
        <v>437292</v>
      </c>
      <c r="N116" s="33">
        <v>437268</v>
      </c>
      <c r="O116" s="33">
        <v>440995</v>
      </c>
      <c r="P116" s="9">
        <v>446200</v>
      </c>
      <c r="Q116" s="33">
        <f t="shared" si="14"/>
        <v>425996.93333333335</v>
      </c>
      <c r="R116" s="45"/>
      <c r="S116" s="75">
        <f t="shared" si="15"/>
        <v>0.42599693333333333</v>
      </c>
      <c r="U116" s="74">
        <f t="shared" si="13"/>
        <v>-0.85332313148672156</v>
      </c>
    </row>
    <row r="117" spans="1:21">
      <c r="A117" s="8" t="s">
        <v>3</v>
      </c>
      <c r="B117" s="34">
        <v>854200</v>
      </c>
      <c r="C117" s="34">
        <v>863400</v>
      </c>
      <c r="D117" s="34">
        <v>893300</v>
      </c>
      <c r="E117" s="33">
        <v>947000</v>
      </c>
      <c r="F117" s="33">
        <v>1020755</v>
      </c>
      <c r="G117" s="33">
        <v>1044570.9999999999</v>
      </c>
      <c r="H117" s="33">
        <v>1065296</v>
      </c>
      <c r="I117" s="33">
        <v>992549</v>
      </c>
      <c r="J117" s="33">
        <v>1034789</v>
      </c>
      <c r="K117" s="33">
        <v>1037531</v>
      </c>
      <c r="L117" s="33">
        <v>1043229</v>
      </c>
      <c r="M117" s="33">
        <v>1038724.9999999999</v>
      </c>
      <c r="N117" s="33">
        <v>1022730</v>
      </c>
      <c r="O117" s="33">
        <v>1021517</v>
      </c>
      <c r="P117" s="9">
        <v>731800</v>
      </c>
      <c r="Q117" s="33">
        <f t="shared" si="14"/>
        <v>974092.80000000005</v>
      </c>
      <c r="R117" s="45"/>
      <c r="S117" s="75">
        <f t="shared" si="15"/>
        <v>0.97409280000000009</v>
      </c>
      <c r="U117" s="74">
        <f t="shared" si="13"/>
        <v>-2.6248702670794506E-2</v>
      </c>
    </row>
    <row r="118" spans="1:21">
      <c r="A118" s="8" t="s">
        <v>4</v>
      </c>
      <c r="B118" s="34">
        <v>257100.00000000003</v>
      </c>
      <c r="C118" s="34">
        <v>257899.99999999997</v>
      </c>
      <c r="D118" s="34">
        <v>270800</v>
      </c>
      <c r="E118" s="33">
        <v>283200</v>
      </c>
      <c r="F118" s="33">
        <v>291786</v>
      </c>
      <c r="G118" s="33">
        <v>294280</v>
      </c>
      <c r="H118" s="33">
        <v>301300</v>
      </c>
      <c r="I118" s="33">
        <v>312029</v>
      </c>
      <c r="J118" s="33">
        <v>311769</v>
      </c>
      <c r="K118" s="33">
        <v>315711</v>
      </c>
      <c r="L118" s="33">
        <v>319697</v>
      </c>
      <c r="M118" s="33">
        <v>332351</v>
      </c>
      <c r="N118" s="33">
        <v>330749</v>
      </c>
      <c r="O118" s="33">
        <v>334048</v>
      </c>
      <c r="P118" s="9">
        <v>343300</v>
      </c>
      <c r="Q118" s="33">
        <f t="shared" si="14"/>
        <v>303734.66666666669</v>
      </c>
      <c r="R118" s="45"/>
      <c r="S118" s="75">
        <f t="shared" si="15"/>
        <v>0.30373466666666671</v>
      </c>
      <c r="U118" s="74">
        <f t="shared" si="13"/>
        <v>-1.1916007657112817</v>
      </c>
    </row>
    <row r="119" spans="1:21">
      <c r="A119" s="8" t="s">
        <v>5</v>
      </c>
      <c r="B119" s="34">
        <v>332100</v>
      </c>
      <c r="C119" s="34">
        <v>333900</v>
      </c>
      <c r="D119" s="34">
        <v>334400</v>
      </c>
      <c r="E119" s="33">
        <v>333500</v>
      </c>
      <c r="F119" s="33">
        <v>332519</v>
      </c>
      <c r="G119" s="33">
        <v>333379</v>
      </c>
      <c r="H119" s="33">
        <v>333566</v>
      </c>
      <c r="I119" s="33">
        <v>325977</v>
      </c>
      <c r="J119" s="33">
        <v>335944</v>
      </c>
      <c r="K119" s="33">
        <v>336605</v>
      </c>
      <c r="L119" s="33">
        <v>337404</v>
      </c>
      <c r="M119" s="33">
        <v>338012</v>
      </c>
      <c r="N119" s="33">
        <v>337861</v>
      </c>
      <c r="O119" s="33">
        <v>338693</v>
      </c>
      <c r="P119" s="9">
        <v>348300</v>
      </c>
      <c r="Q119" s="33">
        <f t="shared" si="14"/>
        <v>335477.33333333331</v>
      </c>
      <c r="R119" s="45"/>
      <c r="S119" s="75">
        <f t="shared" si="15"/>
        <v>0.33547733333333329</v>
      </c>
      <c r="U119" s="74">
        <f t="shared" si="13"/>
        <v>-1.0922008857071841</v>
      </c>
    </row>
    <row r="120" spans="1:21">
      <c r="A120" s="8" t="s">
        <v>6</v>
      </c>
      <c r="B120" s="34">
        <v>567100</v>
      </c>
      <c r="C120" s="34">
        <v>577000</v>
      </c>
      <c r="D120" s="34">
        <v>584700</v>
      </c>
      <c r="E120" s="33">
        <v>589400</v>
      </c>
      <c r="F120" s="33">
        <v>591912</v>
      </c>
      <c r="G120" s="33">
        <v>580974</v>
      </c>
      <c r="H120" s="33">
        <v>557720</v>
      </c>
      <c r="I120" s="33">
        <v>525210</v>
      </c>
      <c r="J120" s="33">
        <v>526725</v>
      </c>
      <c r="K120" s="33">
        <v>531067</v>
      </c>
      <c r="L120" s="33">
        <v>533010</v>
      </c>
      <c r="M120" s="33">
        <v>532485</v>
      </c>
      <c r="N120" s="33">
        <v>529489</v>
      </c>
      <c r="O120" s="33">
        <v>528332</v>
      </c>
      <c r="P120" s="9">
        <v>567700</v>
      </c>
      <c r="Q120" s="33">
        <f t="shared" si="14"/>
        <v>554854.93333333335</v>
      </c>
      <c r="R120" s="45"/>
      <c r="S120" s="75">
        <f t="shared" si="15"/>
        <v>0.55485493333333336</v>
      </c>
      <c r="U120" s="74">
        <f t="shared" si="13"/>
        <v>-0.58904858078315081</v>
      </c>
    </row>
    <row r="121" spans="1:21">
      <c r="A121" s="8" t="s">
        <v>7</v>
      </c>
      <c r="B121" s="34">
        <v>745300</v>
      </c>
      <c r="C121" s="34">
        <v>740500</v>
      </c>
      <c r="D121" s="34">
        <v>744900</v>
      </c>
      <c r="E121" s="33">
        <v>739200</v>
      </c>
      <c r="F121" s="33">
        <v>740939</v>
      </c>
      <c r="G121" s="33">
        <v>744110</v>
      </c>
      <c r="H121" s="33">
        <v>713087</v>
      </c>
      <c r="I121" s="33">
        <v>707701</v>
      </c>
      <c r="J121" s="33">
        <v>690642</v>
      </c>
      <c r="K121" s="33">
        <v>685000</v>
      </c>
      <c r="L121" s="33">
        <v>685354</v>
      </c>
      <c r="M121" s="33">
        <v>678947</v>
      </c>
      <c r="N121" s="33">
        <v>672465</v>
      </c>
      <c r="O121" s="33">
        <v>673392</v>
      </c>
      <c r="P121" s="9">
        <v>559600</v>
      </c>
      <c r="Q121" s="33">
        <f t="shared" si="14"/>
        <v>701409.1333333333</v>
      </c>
      <c r="R121" s="45"/>
      <c r="S121" s="75">
        <f t="shared" si="15"/>
        <v>0.70140913333333332</v>
      </c>
      <c r="U121" s="74">
        <f t="shared" si="13"/>
        <v>-0.35466391978494349</v>
      </c>
    </row>
    <row r="122" spans="1:21">
      <c r="A122" s="8" t="s">
        <v>8</v>
      </c>
      <c r="B122" s="34">
        <v>555600</v>
      </c>
      <c r="C122" s="34">
        <v>545000</v>
      </c>
      <c r="D122" s="34">
        <v>543500</v>
      </c>
      <c r="E122" s="33">
        <v>541800</v>
      </c>
      <c r="F122" s="33">
        <v>539558</v>
      </c>
      <c r="G122" s="33">
        <v>531075</v>
      </c>
      <c r="H122" s="33">
        <v>519960.00000000006</v>
      </c>
      <c r="I122" s="33">
        <v>510263</v>
      </c>
      <c r="J122" s="33">
        <v>519160.99999999994</v>
      </c>
      <c r="K122" s="33">
        <v>517097.99999999994</v>
      </c>
      <c r="L122" s="33">
        <v>512692</v>
      </c>
      <c r="M122" s="33">
        <v>508907</v>
      </c>
      <c r="N122" s="33">
        <v>490469</v>
      </c>
      <c r="O122" s="33">
        <v>499298</v>
      </c>
      <c r="P122" s="9">
        <v>477000</v>
      </c>
      <c r="Q122" s="33">
        <f t="shared" si="14"/>
        <v>520758.73333333334</v>
      </c>
      <c r="R122" s="45"/>
      <c r="S122" s="75">
        <f t="shared" si="15"/>
        <v>0.52075873333333333</v>
      </c>
      <c r="U122" s="74">
        <f t="shared" si="13"/>
        <v>-0.6524684282983727</v>
      </c>
    </row>
    <row r="123" spans="1:21">
      <c r="A123" s="8" t="s">
        <v>9</v>
      </c>
      <c r="B123" s="34">
        <v>305100</v>
      </c>
      <c r="C123" s="34">
        <v>307400</v>
      </c>
      <c r="D123" s="34">
        <v>317400</v>
      </c>
      <c r="E123" s="33">
        <v>337500</v>
      </c>
      <c r="F123" s="33">
        <v>347646</v>
      </c>
      <c r="G123" s="33">
        <v>352620</v>
      </c>
      <c r="H123" s="33">
        <v>327593</v>
      </c>
      <c r="I123" s="33">
        <v>324387</v>
      </c>
      <c r="J123" s="33">
        <v>345623</v>
      </c>
      <c r="K123" s="33">
        <v>347411</v>
      </c>
      <c r="L123" s="33">
        <v>349725</v>
      </c>
      <c r="M123" s="33">
        <v>349125</v>
      </c>
      <c r="N123" s="33">
        <v>346308</v>
      </c>
      <c r="O123" s="33">
        <v>347096</v>
      </c>
      <c r="P123" s="9">
        <v>347200</v>
      </c>
      <c r="Q123" s="33">
        <f t="shared" si="14"/>
        <v>336808.93333333335</v>
      </c>
      <c r="R123" s="45"/>
      <c r="S123" s="75">
        <f t="shared" si="15"/>
        <v>0.33680893333333334</v>
      </c>
      <c r="U123" s="74">
        <f t="shared" si="13"/>
        <v>-1.0882394728168725</v>
      </c>
    </row>
    <row r="124" spans="1:21">
      <c r="A124" s="8" t="s">
        <v>10</v>
      </c>
      <c r="B124" s="34">
        <v>201800</v>
      </c>
      <c r="C124" s="34">
        <v>209000</v>
      </c>
      <c r="D124" s="34">
        <v>219300</v>
      </c>
      <c r="E124" s="33">
        <v>241900</v>
      </c>
      <c r="F124" s="33">
        <v>271734</v>
      </c>
      <c r="G124" s="33">
        <v>274223</v>
      </c>
      <c r="H124" s="33">
        <v>261771.00000000003</v>
      </c>
      <c r="I124" s="33">
        <v>291869</v>
      </c>
      <c r="J124" s="33">
        <v>292325</v>
      </c>
      <c r="K124" s="33">
        <v>292038</v>
      </c>
      <c r="L124" s="33">
        <v>320213</v>
      </c>
      <c r="M124" s="33">
        <v>320873</v>
      </c>
      <c r="N124" s="33">
        <v>324225</v>
      </c>
      <c r="O124" s="33">
        <v>348590</v>
      </c>
      <c r="P124" s="9">
        <v>350500</v>
      </c>
      <c r="Q124" s="33">
        <f t="shared" si="14"/>
        <v>281357.40000000002</v>
      </c>
      <c r="R124" s="45"/>
      <c r="S124" s="75">
        <f t="shared" si="15"/>
        <v>0.28135740000000004</v>
      </c>
      <c r="U124" s="74">
        <f t="shared" si="13"/>
        <v>-1.2681295316893597</v>
      </c>
    </row>
    <row r="125" spans="1:21">
      <c r="A125" s="8" t="s">
        <v>68</v>
      </c>
      <c r="B125" s="34">
        <v>1118600</v>
      </c>
      <c r="C125" s="34">
        <v>1132700</v>
      </c>
      <c r="D125" s="34">
        <v>891249</v>
      </c>
      <c r="E125" s="33">
        <v>917598</v>
      </c>
      <c r="F125" s="33">
        <v>951210</v>
      </c>
      <c r="G125" s="33">
        <v>954078</v>
      </c>
      <c r="H125" s="33">
        <v>927586</v>
      </c>
      <c r="I125" s="33">
        <v>825534</v>
      </c>
      <c r="J125" s="33">
        <v>832065</v>
      </c>
      <c r="K125" s="33">
        <v>821600</v>
      </c>
      <c r="L125" s="33">
        <v>832043</v>
      </c>
      <c r="M125" s="33">
        <v>826189</v>
      </c>
      <c r="N125" s="33">
        <v>821824</v>
      </c>
      <c r="O125" s="33">
        <v>819394</v>
      </c>
      <c r="P125" s="9">
        <v>835200</v>
      </c>
      <c r="Q125" s="33">
        <f t="shared" si="14"/>
        <v>900458</v>
      </c>
      <c r="R125" s="45"/>
      <c r="S125" s="75">
        <f t="shared" si="15"/>
        <v>0.90045799999999998</v>
      </c>
      <c r="U125" s="74">
        <f t="shared" si="13"/>
        <v>-0.10485175620897619</v>
      </c>
    </row>
    <row r="126" spans="1:21">
      <c r="A126" s="8" t="s">
        <v>11</v>
      </c>
      <c r="B126" s="34">
        <v>431700</v>
      </c>
      <c r="C126" s="34">
        <v>433500</v>
      </c>
      <c r="D126" s="34">
        <v>440700</v>
      </c>
      <c r="E126" s="33">
        <v>441100</v>
      </c>
      <c r="F126" s="33">
        <v>439206</v>
      </c>
      <c r="G126" s="33">
        <v>440000</v>
      </c>
      <c r="H126" s="33">
        <v>441257</v>
      </c>
      <c r="I126" s="33">
        <v>426175</v>
      </c>
      <c r="J126" s="33">
        <v>421435</v>
      </c>
      <c r="K126" s="33">
        <v>416311</v>
      </c>
      <c r="L126" s="33">
        <v>412957</v>
      </c>
      <c r="M126" s="33">
        <v>409685</v>
      </c>
      <c r="N126" s="33">
        <v>406718</v>
      </c>
      <c r="O126" s="33">
        <v>403113</v>
      </c>
      <c r="P126" s="9">
        <v>403400</v>
      </c>
      <c r="Q126" s="33">
        <f t="shared" si="14"/>
        <v>424483.8</v>
      </c>
      <c r="R126" s="45"/>
      <c r="S126" s="75">
        <f t="shared" si="15"/>
        <v>0.42448379999999997</v>
      </c>
      <c r="U126" s="74">
        <f t="shared" si="13"/>
        <v>-0.8568814365031131</v>
      </c>
    </row>
    <row r="127" spans="1:21">
      <c r="A127" s="8" t="s">
        <v>12</v>
      </c>
      <c r="B127" s="34">
        <v>389800</v>
      </c>
      <c r="C127" s="34">
        <v>382400</v>
      </c>
      <c r="D127" s="34">
        <v>380100</v>
      </c>
      <c r="E127" s="33">
        <v>366200</v>
      </c>
      <c r="F127" s="33">
        <v>349558</v>
      </c>
      <c r="G127" s="33">
        <v>346876</v>
      </c>
      <c r="H127" s="33">
        <v>330251</v>
      </c>
      <c r="I127" s="33">
        <v>329631</v>
      </c>
      <c r="J127" s="33">
        <v>318934</v>
      </c>
      <c r="K127" s="33">
        <v>310312</v>
      </c>
      <c r="L127" s="33">
        <v>311329</v>
      </c>
      <c r="M127" s="33">
        <v>308259</v>
      </c>
      <c r="N127" s="33">
        <v>304371</v>
      </c>
      <c r="O127" s="33">
        <v>301936</v>
      </c>
      <c r="P127" s="9">
        <v>293300</v>
      </c>
      <c r="Q127" s="33">
        <f t="shared" si="14"/>
        <v>334883.8</v>
      </c>
      <c r="R127" s="45"/>
      <c r="S127" s="75">
        <f t="shared" si="15"/>
        <v>0.33488380000000001</v>
      </c>
      <c r="U127" s="74">
        <f t="shared" si="13"/>
        <v>-1.0939716730005242</v>
      </c>
    </row>
    <row r="128" spans="1:21">
      <c r="A128" s="8" t="s">
        <v>13</v>
      </c>
      <c r="B128" s="34">
        <v>765000</v>
      </c>
      <c r="C128" s="34">
        <v>764000</v>
      </c>
      <c r="D128" s="34">
        <v>769800</v>
      </c>
      <c r="E128" s="33">
        <v>757500</v>
      </c>
      <c r="F128" s="33">
        <v>748486</v>
      </c>
      <c r="G128" s="33">
        <v>745984</v>
      </c>
      <c r="H128" s="33">
        <v>740911</v>
      </c>
      <c r="I128" s="33">
        <v>715527</v>
      </c>
      <c r="J128" s="33">
        <v>719214</v>
      </c>
      <c r="K128" s="33">
        <v>722286</v>
      </c>
      <c r="L128" s="33">
        <v>713600</v>
      </c>
      <c r="M128" s="33">
        <v>715048</v>
      </c>
      <c r="N128" s="33">
        <v>703574</v>
      </c>
      <c r="O128" s="33">
        <v>701813</v>
      </c>
      <c r="P128" s="9">
        <v>384600</v>
      </c>
      <c r="Q128" s="33">
        <f t="shared" si="14"/>
        <v>711156.2</v>
      </c>
      <c r="R128" s="45"/>
      <c r="S128" s="75">
        <f t="shared" si="15"/>
        <v>0.71115619999999991</v>
      </c>
      <c r="U128" s="74">
        <f t="shared" si="13"/>
        <v>-0.34086318273068467</v>
      </c>
    </row>
    <row r="129" spans="1:21">
      <c r="A129" s="8" t="s">
        <v>14</v>
      </c>
      <c r="B129" s="34">
        <v>355200</v>
      </c>
      <c r="C129" s="34">
        <v>371500</v>
      </c>
      <c r="D129" s="34">
        <v>390700</v>
      </c>
      <c r="E129" s="33">
        <v>398600</v>
      </c>
      <c r="F129" s="33">
        <v>417574</v>
      </c>
      <c r="G129" s="33">
        <v>434470</v>
      </c>
      <c r="H129" s="33">
        <v>454551</v>
      </c>
      <c r="I129" s="33">
        <v>488834</v>
      </c>
      <c r="J129" s="33">
        <v>488715</v>
      </c>
      <c r="K129" s="33">
        <v>521491.99999999994</v>
      </c>
      <c r="L129" s="33">
        <v>531426</v>
      </c>
      <c r="M129" s="33">
        <v>578875</v>
      </c>
      <c r="N129" s="33">
        <v>590515</v>
      </c>
      <c r="O129" s="33">
        <v>608431</v>
      </c>
      <c r="P129" s="9">
        <v>655500</v>
      </c>
      <c r="Q129" s="33">
        <f t="shared" si="14"/>
        <v>485758.86666666664</v>
      </c>
      <c r="R129" s="45"/>
      <c r="S129" s="75">
        <f t="shared" si="15"/>
        <v>0.48575886666666662</v>
      </c>
      <c r="U129" s="74">
        <f t="shared" si="13"/>
        <v>-0.72204293733139457</v>
      </c>
    </row>
    <row r="130" spans="1:21">
      <c r="A130" s="8" t="s">
        <v>15</v>
      </c>
      <c r="B130" s="34">
        <v>705500</v>
      </c>
      <c r="C130" s="34">
        <v>706900</v>
      </c>
      <c r="D130" s="34">
        <v>722400</v>
      </c>
      <c r="E130" s="33">
        <v>740900</v>
      </c>
      <c r="F130" s="33">
        <v>774679</v>
      </c>
      <c r="G130" s="33">
        <v>787517</v>
      </c>
      <c r="H130" s="33">
        <v>809221</v>
      </c>
      <c r="I130" s="33">
        <v>885004</v>
      </c>
      <c r="J130" s="33">
        <v>916269</v>
      </c>
      <c r="K130" s="33">
        <v>939190</v>
      </c>
      <c r="L130" s="33">
        <v>961673</v>
      </c>
      <c r="M130" s="33">
        <v>986569</v>
      </c>
      <c r="N130" s="33">
        <v>1011507</v>
      </c>
      <c r="O130" s="33">
        <v>1036286</v>
      </c>
      <c r="P130" s="9">
        <v>1051000</v>
      </c>
      <c r="Q130" s="33">
        <f t="shared" si="14"/>
        <v>868974.33333333337</v>
      </c>
      <c r="R130" s="45"/>
      <c r="S130" s="75">
        <f t="shared" si="15"/>
        <v>0.8689743333333334</v>
      </c>
      <c r="U130" s="74">
        <f t="shared" si="13"/>
        <v>-0.14044169001791609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FB09-984C-134C-8B6F-371BE99DAB1B}">
  <dimension ref="A2:X124"/>
  <sheetViews>
    <sheetView zoomScale="93" zoomScaleNormal="180" workbookViewId="0">
      <selection activeCell="S25" sqref="S25"/>
    </sheetView>
  </sheetViews>
  <sheetFormatPr baseColWidth="10" defaultRowHeight="16"/>
  <sheetData>
    <row r="2" spans="1:21" ht="17" thickBot="1"/>
    <row r="3" spans="1:21">
      <c r="A3" s="64"/>
      <c r="B3" s="1" t="s">
        <v>76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I3" s="11"/>
      <c r="J3" s="11" t="s">
        <v>76</v>
      </c>
      <c r="K3" s="11" t="s">
        <v>71</v>
      </c>
      <c r="L3" s="11" t="s">
        <v>72</v>
      </c>
      <c r="M3" s="11" t="s">
        <v>73</v>
      </c>
      <c r="N3" s="11" t="s">
        <v>74</v>
      </c>
      <c r="O3" s="11" t="s">
        <v>75</v>
      </c>
      <c r="P3" t="s">
        <v>19</v>
      </c>
    </row>
    <row r="4" spans="1:21" ht="17" thickBot="1">
      <c r="A4" s="8" t="s">
        <v>1</v>
      </c>
      <c r="B4" s="16">
        <v>1907.4000000000003</v>
      </c>
      <c r="C4" s="16">
        <v>5166.6000000000004</v>
      </c>
      <c r="D4" s="65">
        <v>5.3082092778058581</v>
      </c>
      <c r="E4" s="16">
        <v>351522.46666666667</v>
      </c>
      <c r="F4" s="65">
        <v>58.659854289439131</v>
      </c>
      <c r="G4" s="63">
        <v>434199.86666666664</v>
      </c>
      <c r="I4" t="s">
        <v>76</v>
      </c>
      <c r="J4">
        <v>1</v>
      </c>
    </row>
    <row r="5" spans="1:21">
      <c r="A5" s="8" t="s">
        <v>2</v>
      </c>
      <c r="B5" s="16">
        <v>2582.5333333333333</v>
      </c>
      <c r="C5" s="16">
        <v>6248.8</v>
      </c>
      <c r="D5" s="65">
        <v>5.0717551491695207</v>
      </c>
      <c r="E5" s="16">
        <v>536132.66666666663</v>
      </c>
      <c r="F5" s="65">
        <v>52.012057141546194</v>
      </c>
      <c r="G5" s="63">
        <v>425996.93333333335</v>
      </c>
      <c r="I5" t="s">
        <v>71</v>
      </c>
      <c r="J5">
        <v>0.61739690287668225</v>
      </c>
      <c r="K5">
        <v>1</v>
      </c>
      <c r="P5" s="12" t="s">
        <v>20</v>
      </c>
      <c r="Q5" s="12"/>
    </row>
    <row r="6" spans="1:21">
      <c r="A6" s="8" t="s">
        <v>3</v>
      </c>
      <c r="B6" s="16">
        <v>1191.0999999999999</v>
      </c>
      <c r="C6" s="16">
        <v>2590.8666666666668</v>
      </c>
      <c r="D6" s="65">
        <v>5.1005678979394506</v>
      </c>
      <c r="E6" s="16">
        <v>434211.6</v>
      </c>
      <c r="F6" s="65">
        <v>51.201257735567715</v>
      </c>
      <c r="G6" s="63">
        <v>974092.80000000005</v>
      </c>
      <c r="I6" t="s">
        <v>72</v>
      </c>
      <c r="J6">
        <v>0.31862345250143009</v>
      </c>
      <c r="K6">
        <v>0.52899188569439337</v>
      </c>
      <c r="L6">
        <v>1</v>
      </c>
      <c r="P6" t="s">
        <v>21</v>
      </c>
      <c r="Q6">
        <v>0.82573305669605424</v>
      </c>
    </row>
    <row r="7" spans="1:21">
      <c r="A7" s="8" t="s">
        <v>4</v>
      </c>
      <c r="B7" s="16">
        <v>3146.1488888888885</v>
      </c>
      <c r="C7" s="16">
        <v>3812.8</v>
      </c>
      <c r="D7" s="65">
        <v>5.1272700068587911</v>
      </c>
      <c r="E7" s="16">
        <v>292497.93333333335</v>
      </c>
      <c r="F7" s="65">
        <v>52.17390431176684</v>
      </c>
      <c r="G7" s="63">
        <v>303734.66666666669</v>
      </c>
      <c r="I7" t="s">
        <v>73</v>
      </c>
      <c r="J7">
        <v>0.48679160758970608</v>
      </c>
      <c r="K7">
        <v>0.87611459050252516</v>
      </c>
      <c r="L7">
        <v>0.37968731679875201</v>
      </c>
      <c r="M7">
        <v>1</v>
      </c>
      <c r="P7" t="s">
        <v>22</v>
      </c>
      <c r="Q7">
        <v>0.68183508092060918</v>
      </c>
    </row>
    <row r="8" spans="1:21">
      <c r="A8" s="8" t="s">
        <v>5</v>
      </c>
      <c r="B8" s="16">
        <v>3321.0733333333333</v>
      </c>
      <c r="C8" s="16">
        <v>8445.7999999999993</v>
      </c>
      <c r="D8" s="65">
        <v>5.2660793678517441</v>
      </c>
      <c r="E8" s="16">
        <v>315508.8</v>
      </c>
      <c r="F8" s="65">
        <v>53.08116827324163</v>
      </c>
      <c r="G8" s="63">
        <v>335477.33333333331</v>
      </c>
      <c r="I8" t="s">
        <v>74</v>
      </c>
      <c r="J8">
        <v>0.21875863900947343</v>
      </c>
      <c r="K8">
        <v>0.11894458249060656</v>
      </c>
      <c r="L8">
        <v>-0.31635728799810098</v>
      </c>
      <c r="M8">
        <v>-8.013318048740381E-2</v>
      </c>
      <c r="N8">
        <v>1</v>
      </c>
      <c r="P8" t="s">
        <v>23</v>
      </c>
      <c r="Q8">
        <v>0.52275262138091372</v>
      </c>
    </row>
    <row r="9" spans="1:21" ht="17" thickBot="1">
      <c r="A9" s="8" t="s">
        <v>6</v>
      </c>
      <c r="B9" s="16">
        <v>1070.3933333333332</v>
      </c>
      <c r="C9" s="16">
        <v>8099.6</v>
      </c>
      <c r="D9" s="65">
        <v>5.2744020564440524</v>
      </c>
      <c r="E9" s="16">
        <v>441835.86666666664</v>
      </c>
      <c r="F9" s="65">
        <v>50.991659258009854</v>
      </c>
      <c r="G9" s="63">
        <v>554854.93333333335</v>
      </c>
      <c r="I9" s="10" t="s">
        <v>75</v>
      </c>
      <c r="J9" s="10">
        <v>-0.18052397408511098</v>
      </c>
      <c r="K9" s="10">
        <v>0.41373480813985969</v>
      </c>
      <c r="L9" s="10">
        <v>0.17281501444402955</v>
      </c>
      <c r="M9" s="10">
        <v>0.64858285280583294</v>
      </c>
      <c r="N9" s="10">
        <v>-0.28749483397131886</v>
      </c>
      <c r="O9" s="10">
        <v>1</v>
      </c>
      <c r="P9" t="s">
        <v>24</v>
      </c>
      <c r="Q9">
        <v>904.4065638863442</v>
      </c>
    </row>
    <row r="10" spans="1:21" ht="17" thickBot="1">
      <c r="A10" s="8" t="s">
        <v>7</v>
      </c>
      <c r="B10" s="16">
        <v>2855.5600000000004</v>
      </c>
      <c r="C10" s="16">
        <v>13834.266666666666</v>
      </c>
      <c r="D10" s="65">
        <v>5.0477448468016402</v>
      </c>
      <c r="E10" s="16">
        <v>1066122</v>
      </c>
      <c r="F10" s="65">
        <v>51.912820218070557</v>
      </c>
      <c r="G10" s="63">
        <v>701409.1333333333</v>
      </c>
      <c r="P10" s="10" t="s">
        <v>25</v>
      </c>
      <c r="Q10" s="10">
        <v>16</v>
      </c>
    </row>
    <row r="11" spans="1:21">
      <c r="A11" s="8" t="s">
        <v>8</v>
      </c>
      <c r="B11" s="16">
        <v>2085.46</v>
      </c>
      <c r="C11" s="16">
        <v>6453.2</v>
      </c>
      <c r="D11" s="65">
        <v>5.237792577925779</v>
      </c>
      <c r="E11" s="16">
        <v>464952.66666666669</v>
      </c>
      <c r="F11" s="65">
        <v>59.393740500778058</v>
      </c>
      <c r="G11" s="63">
        <v>520758.73333333334</v>
      </c>
    </row>
    <row r="12" spans="1:21" ht="17" thickBot="1">
      <c r="A12" s="8" t="s">
        <v>9</v>
      </c>
      <c r="B12" s="16">
        <v>1813.8199999999997</v>
      </c>
      <c r="C12" s="16">
        <v>4070.2</v>
      </c>
      <c r="D12" s="65">
        <v>5.3026385452002867</v>
      </c>
      <c r="E12" s="16">
        <v>321905.46666666667</v>
      </c>
      <c r="F12" s="65">
        <v>45.274321314000602</v>
      </c>
      <c r="G12" s="63">
        <v>336808.93333333335</v>
      </c>
      <c r="P12" t="s">
        <v>26</v>
      </c>
    </row>
    <row r="13" spans="1:21">
      <c r="A13" s="8" t="s">
        <v>10</v>
      </c>
      <c r="B13" s="16">
        <v>4040.7400000000002</v>
      </c>
      <c r="C13" s="16">
        <v>1778.5333333333333</v>
      </c>
      <c r="D13" s="65">
        <v>5.4568636100056009</v>
      </c>
      <c r="E13" s="16">
        <v>277268.13333333336</v>
      </c>
      <c r="F13" s="65">
        <v>46.867649109714435</v>
      </c>
      <c r="G13" s="63">
        <v>281357.40000000002</v>
      </c>
      <c r="P13" s="11"/>
      <c r="Q13" s="11" t="s">
        <v>31</v>
      </c>
      <c r="R13" s="11" t="s">
        <v>32</v>
      </c>
      <c r="S13" s="11" t="s">
        <v>33</v>
      </c>
      <c r="T13" s="11" t="s">
        <v>34</v>
      </c>
      <c r="U13" s="11" t="s">
        <v>35</v>
      </c>
    </row>
    <row r="14" spans="1:21">
      <c r="A14" s="8" t="s">
        <v>68</v>
      </c>
      <c r="B14" s="16">
        <v>874.99333333333334</v>
      </c>
      <c r="C14" s="16">
        <v>3039.1333333333332</v>
      </c>
      <c r="D14" s="65">
        <v>5.4477931369665571</v>
      </c>
      <c r="E14" s="16">
        <v>801672.8666666667</v>
      </c>
      <c r="F14" s="65">
        <v>38.418339465399278</v>
      </c>
      <c r="G14" s="63">
        <v>900458</v>
      </c>
      <c r="P14" t="s">
        <v>27</v>
      </c>
      <c r="Q14">
        <v>5</v>
      </c>
      <c r="R14">
        <v>17528891.828159623</v>
      </c>
      <c r="S14">
        <v>3505778.3656319245</v>
      </c>
      <c r="T14">
        <v>4.2860481469389953</v>
      </c>
      <c r="U14">
        <v>2.4125959615534574E-2</v>
      </c>
    </row>
    <row r="15" spans="1:21">
      <c r="A15" s="8" t="s">
        <v>11</v>
      </c>
      <c r="B15" s="16">
        <v>2876.4333333333334</v>
      </c>
      <c r="C15" s="16">
        <v>5027.3999999999996</v>
      </c>
      <c r="D15" s="65">
        <v>5.1106238370324375</v>
      </c>
      <c r="E15" s="16">
        <v>522125.66666666669</v>
      </c>
      <c r="F15" s="65">
        <v>56.515202316615415</v>
      </c>
      <c r="G15" s="63">
        <v>424483.8</v>
      </c>
      <c r="P15" t="s">
        <v>28</v>
      </c>
      <c r="Q15">
        <v>10</v>
      </c>
      <c r="R15">
        <v>8179512.3280070405</v>
      </c>
      <c r="S15">
        <v>817951.23280070408</v>
      </c>
    </row>
    <row r="16" spans="1:21" ht="17" thickBot="1">
      <c r="A16" s="8" t="s">
        <v>12</v>
      </c>
      <c r="B16" s="16">
        <v>1808.3200000000002</v>
      </c>
      <c r="C16" s="16">
        <v>2118.2666666666669</v>
      </c>
      <c r="D16" s="65">
        <v>5.2412656270578806</v>
      </c>
      <c r="E16" s="16">
        <v>245043.93333333332</v>
      </c>
      <c r="F16" s="65">
        <v>58.157644943256038</v>
      </c>
      <c r="G16" s="63">
        <v>334883.8</v>
      </c>
      <c r="P16" s="10" t="s">
        <v>29</v>
      </c>
      <c r="Q16" s="10">
        <v>15</v>
      </c>
      <c r="R16" s="10">
        <v>25708404.156166665</v>
      </c>
      <c r="S16" s="10"/>
      <c r="T16" s="10"/>
      <c r="U16" s="10"/>
    </row>
    <row r="17" spans="1:24" ht="17" thickBot="1">
      <c r="A17" s="8" t="s">
        <v>13</v>
      </c>
      <c r="B17" s="16">
        <v>2114.98</v>
      </c>
      <c r="C17" s="16">
        <v>9941</v>
      </c>
      <c r="D17" s="65">
        <v>5.16164313964883</v>
      </c>
      <c r="E17" s="16">
        <v>800649.8666666667</v>
      </c>
      <c r="F17" s="65">
        <v>52.781679661544075</v>
      </c>
      <c r="G17" s="63">
        <v>711156.2</v>
      </c>
    </row>
    <row r="18" spans="1:24">
      <c r="A18" s="8" t="s">
        <v>14</v>
      </c>
      <c r="B18" s="16">
        <v>4993.3399999999992</v>
      </c>
      <c r="C18" s="16">
        <v>11644.466666666667</v>
      </c>
      <c r="D18" s="65">
        <v>5.2080265596771538</v>
      </c>
      <c r="E18">
        <v>887533.46666666667</v>
      </c>
      <c r="F18" s="65">
        <v>55.443789053287489</v>
      </c>
      <c r="G18" s="63">
        <v>485758.86666666664</v>
      </c>
      <c r="P18" s="11"/>
      <c r="Q18" s="11" t="s">
        <v>36</v>
      </c>
      <c r="R18" s="11" t="s">
        <v>24</v>
      </c>
      <c r="S18" s="11" t="s">
        <v>37</v>
      </c>
      <c r="T18" s="11" t="s">
        <v>38</v>
      </c>
      <c r="U18" s="11" t="s">
        <v>39</v>
      </c>
      <c r="V18" s="11" t="s">
        <v>40</v>
      </c>
      <c r="W18" s="11" t="s">
        <v>41</v>
      </c>
      <c r="X18" s="11" t="s">
        <v>42</v>
      </c>
    </row>
    <row r="19" spans="1:24">
      <c r="A19" s="8" t="s">
        <v>15</v>
      </c>
      <c r="B19" s="16">
        <v>5325.7800000000007</v>
      </c>
      <c r="C19" s="16">
        <v>42013.066666666666</v>
      </c>
      <c r="D19" s="65">
        <v>5.6835855510577415</v>
      </c>
      <c r="E19">
        <v>1644614.9333333333</v>
      </c>
      <c r="F19" s="65">
        <v>52.879669160540061</v>
      </c>
      <c r="G19" s="63">
        <v>868974.33333333337</v>
      </c>
      <c r="P19" t="s">
        <v>30</v>
      </c>
      <c r="Q19">
        <v>140.7423066538995</v>
      </c>
      <c r="R19">
        <v>13081.242280137109</v>
      </c>
      <c r="S19">
        <v>1.0759093336846624E-2</v>
      </c>
      <c r="T19">
        <v>0.99162727084598701</v>
      </c>
      <c r="U19">
        <v>-29006.08184996511</v>
      </c>
      <c r="V19">
        <v>29287.566463272909</v>
      </c>
      <c r="W19">
        <v>-29006.08184996511</v>
      </c>
      <c r="X19">
        <v>29287.566463272909</v>
      </c>
    </row>
    <row r="20" spans="1:24">
      <c r="P20" t="s">
        <v>71</v>
      </c>
      <c r="Q20">
        <v>2.9838665876155811E-2</v>
      </c>
      <c r="R20">
        <v>7.4236114353322516E-2</v>
      </c>
      <c r="S20">
        <v>0.40194272203068709</v>
      </c>
      <c r="T20">
        <v>0.69618252728409169</v>
      </c>
      <c r="U20">
        <v>-0.13556970473497801</v>
      </c>
      <c r="V20">
        <v>0.19524703648728964</v>
      </c>
      <c r="W20">
        <v>-0.13556970473497801</v>
      </c>
      <c r="X20">
        <v>0.19524703648728964</v>
      </c>
    </row>
    <row r="21" spans="1:24" ht="17" thickBot="1">
      <c r="P21" t="s">
        <v>72</v>
      </c>
      <c r="Q21">
        <v>449.85663010151308</v>
      </c>
      <c r="R21">
        <v>2082.3342096809438</v>
      </c>
      <c r="S21">
        <v>0.21603478827274336</v>
      </c>
      <c r="T21">
        <v>0.83330363260065043</v>
      </c>
      <c r="U21">
        <v>-4189.8731253087308</v>
      </c>
      <c r="V21">
        <v>5089.5863855117568</v>
      </c>
      <c r="W21">
        <v>-4189.8731253087308</v>
      </c>
      <c r="X21">
        <v>5089.5863855117568</v>
      </c>
    </row>
    <row r="22" spans="1:24">
      <c r="A22" s="64"/>
      <c r="B22" s="1" t="s">
        <v>76</v>
      </c>
      <c r="C22" s="2" t="s">
        <v>71</v>
      </c>
      <c r="D22" s="2" t="s">
        <v>72</v>
      </c>
      <c r="E22" s="2" t="s">
        <v>74</v>
      </c>
      <c r="F22" s="2" t="s">
        <v>75</v>
      </c>
      <c r="I22" s="11"/>
      <c r="J22" s="11" t="s">
        <v>76</v>
      </c>
      <c r="K22" s="11" t="s">
        <v>71</v>
      </c>
      <c r="L22" s="11" t="s">
        <v>72</v>
      </c>
      <c r="M22" s="11" t="s">
        <v>74</v>
      </c>
      <c r="N22" s="11" t="s">
        <v>75</v>
      </c>
      <c r="P22" t="s">
        <v>73</v>
      </c>
      <c r="Q22">
        <v>2.7196026660095338E-3</v>
      </c>
      <c r="R22">
        <v>1.8886387747655672E-3</v>
      </c>
      <c r="S22">
        <v>1.4399803193424916</v>
      </c>
      <c r="T22">
        <v>0.1804354906023079</v>
      </c>
      <c r="U22">
        <v>-1.488546765413381E-3</v>
      </c>
      <c r="V22">
        <v>6.927752097432449E-3</v>
      </c>
      <c r="W22">
        <v>-1.488546765413381E-3</v>
      </c>
      <c r="X22">
        <v>6.927752097432449E-3</v>
      </c>
    </row>
    <row r="23" spans="1:24">
      <c r="A23" s="8" t="s">
        <v>1</v>
      </c>
      <c r="B23" s="16">
        <v>1907.4000000000003</v>
      </c>
      <c r="C23" s="16">
        <v>5166.6000000000004</v>
      </c>
      <c r="D23" s="65">
        <v>5.3082092778058581</v>
      </c>
      <c r="E23" s="65">
        <v>58.659854289439131</v>
      </c>
      <c r="F23" s="63">
        <v>434199.86666666664</v>
      </c>
      <c r="I23" t="s">
        <v>76</v>
      </c>
      <c r="J23">
        <v>1</v>
      </c>
      <c r="P23" t="s">
        <v>74</v>
      </c>
      <c r="Q23">
        <v>12.656069505779147</v>
      </c>
      <c r="R23">
        <v>59.42519222574434</v>
      </c>
      <c r="S23">
        <v>0.21297481811588068</v>
      </c>
      <c r="T23">
        <v>0.83562557914645885</v>
      </c>
      <c r="U23">
        <v>-119.75151007915453</v>
      </c>
      <c r="V23">
        <v>145.06364909071283</v>
      </c>
      <c r="W23">
        <v>-119.75151007915453</v>
      </c>
      <c r="X23">
        <v>145.06364909071283</v>
      </c>
    </row>
    <row r="24" spans="1:24" ht="17" thickBot="1">
      <c r="A24" s="8" t="s">
        <v>2</v>
      </c>
      <c r="B24" s="16">
        <v>2582.5333333333333</v>
      </c>
      <c r="C24" s="16">
        <v>6248.8</v>
      </c>
      <c r="D24" s="65">
        <v>5.0717551491695207</v>
      </c>
      <c r="E24" s="65">
        <v>52.012057141546194</v>
      </c>
      <c r="F24" s="63">
        <v>425996.93333333335</v>
      </c>
      <c r="I24" t="s">
        <v>71</v>
      </c>
      <c r="J24">
        <v>0.61739690287668225</v>
      </c>
      <c r="K24">
        <v>1</v>
      </c>
      <c r="P24" s="10" t="s">
        <v>75</v>
      </c>
      <c r="Q24" s="10">
        <v>-4.4460284660513931E-3</v>
      </c>
      <c r="R24" s="10">
        <v>1.5151106326600266E-3</v>
      </c>
      <c r="S24" s="10">
        <v>-2.9344579664427917</v>
      </c>
      <c r="T24" s="10">
        <v>1.4926427707794116E-2</v>
      </c>
      <c r="U24" s="10">
        <v>-7.821905331738703E-3</v>
      </c>
      <c r="V24" s="10">
        <v>-1.0701516003640834E-3</v>
      </c>
      <c r="W24" s="10">
        <v>-7.821905331738703E-3</v>
      </c>
      <c r="X24" s="10">
        <v>-1.0701516003640834E-3</v>
      </c>
    </row>
    <row r="25" spans="1:24">
      <c r="A25" s="8" t="s">
        <v>3</v>
      </c>
      <c r="B25" s="16">
        <v>1191.0999999999999</v>
      </c>
      <c r="C25" s="16">
        <v>2590.8666666666668</v>
      </c>
      <c r="D25" s="65">
        <v>5.1005678979394506</v>
      </c>
      <c r="E25" s="65">
        <v>51.201257735567715</v>
      </c>
      <c r="F25" s="63">
        <v>974092.80000000005</v>
      </c>
      <c r="I25" t="s">
        <v>72</v>
      </c>
      <c r="J25">
        <v>0.31862345250143009</v>
      </c>
      <c r="K25">
        <v>0.52899188569439337</v>
      </c>
      <c r="L25">
        <v>1</v>
      </c>
    </row>
    <row r="26" spans="1:24">
      <c r="A26" s="8" t="s">
        <v>4</v>
      </c>
      <c r="B26" s="16">
        <v>3146.1488888888885</v>
      </c>
      <c r="C26" s="16">
        <v>3812.8</v>
      </c>
      <c r="D26" s="65">
        <v>5.1272700068587911</v>
      </c>
      <c r="E26" s="65">
        <v>52.17390431176684</v>
      </c>
      <c r="F26" s="63">
        <v>303734.66666666669</v>
      </c>
      <c r="I26" t="s">
        <v>74</v>
      </c>
      <c r="J26">
        <v>0.21875863900947343</v>
      </c>
      <c r="K26">
        <v>0.11894458249060656</v>
      </c>
      <c r="L26">
        <v>-0.31635728799810098</v>
      </c>
      <c r="M26">
        <v>1</v>
      </c>
    </row>
    <row r="27" spans="1:24" ht="17" thickBot="1">
      <c r="A27" s="8" t="s">
        <v>5</v>
      </c>
      <c r="B27" s="16">
        <v>3321.0733333333333</v>
      </c>
      <c r="C27" s="16">
        <v>8445.7999999999993</v>
      </c>
      <c r="D27" s="65">
        <v>5.2660793678517441</v>
      </c>
      <c r="E27" s="65">
        <v>53.08116827324163</v>
      </c>
      <c r="F27" s="63">
        <v>335477.33333333331</v>
      </c>
      <c r="I27" s="10" t="s">
        <v>75</v>
      </c>
      <c r="J27" s="10">
        <v>-0.18052397408511098</v>
      </c>
      <c r="K27" s="10">
        <v>0.41373480813985969</v>
      </c>
      <c r="L27" s="10">
        <v>0.17281501444402955</v>
      </c>
      <c r="M27" s="10">
        <v>-0.28749483397131886</v>
      </c>
      <c r="N27" s="10">
        <v>1</v>
      </c>
    </row>
    <row r="28" spans="1:24">
      <c r="A28" s="8" t="s">
        <v>6</v>
      </c>
      <c r="B28" s="16">
        <v>1070.3933333333332</v>
      </c>
      <c r="C28" s="16">
        <v>8099.6</v>
      </c>
      <c r="D28" s="65">
        <v>5.2744020564440524</v>
      </c>
      <c r="E28" s="65">
        <v>50.991659258009854</v>
      </c>
      <c r="F28" s="63">
        <v>554854.93333333335</v>
      </c>
    </row>
    <row r="29" spans="1:24">
      <c r="A29" s="8" t="s">
        <v>7</v>
      </c>
      <c r="B29" s="16">
        <v>2855.5600000000004</v>
      </c>
      <c r="C29" s="16">
        <v>13834.266666666666</v>
      </c>
      <c r="D29" s="65">
        <v>5.0477448468016402</v>
      </c>
      <c r="E29" s="65">
        <v>51.912820218070557</v>
      </c>
      <c r="F29" s="63">
        <v>701409.1333333333</v>
      </c>
    </row>
    <row r="30" spans="1:24">
      <c r="A30" s="8" t="s">
        <v>8</v>
      </c>
      <c r="B30" s="16">
        <v>2085.46</v>
      </c>
      <c r="C30" s="16">
        <v>6453.2</v>
      </c>
      <c r="D30" s="65">
        <v>5.237792577925779</v>
      </c>
      <c r="E30" s="65">
        <v>59.393740500778058</v>
      </c>
      <c r="F30" s="63">
        <v>520758.73333333334</v>
      </c>
    </row>
    <row r="31" spans="1:24">
      <c r="A31" s="8" t="s">
        <v>9</v>
      </c>
      <c r="B31" s="16">
        <v>1813.8199999999997</v>
      </c>
      <c r="C31" s="16">
        <v>4070.2</v>
      </c>
      <c r="D31" s="65">
        <v>5.3026385452002867</v>
      </c>
      <c r="E31" s="65">
        <v>45.274321314000602</v>
      </c>
      <c r="F31" s="63">
        <v>336808.93333333335</v>
      </c>
    </row>
    <row r="32" spans="1:24">
      <c r="A32" s="8" t="s">
        <v>10</v>
      </c>
      <c r="B32" s="16">
        <v>4040.7400000000002</v>
      </c>
      <c r="C32" s="16">
        <v>1778.5333333333333</v>
      </c>
      <c r="D32" s="65">
        <v>5.4568636100056009</v>
      </c>
      <c r="E32" s="65">
        <v>46.867649109714435</v>
      </c>
      <c r="F32" s="63">
        <v>281357.40000000002</v>
      </c>
    </row>
    <row r="33" spans="1:6">
      <c r="A33" s="8" t="s">
        <v>68</v>
      </c>
      <c r="B33" s="16">
        <v>874.99333333333334</v>
      </c>
      <c r="C33" s="16">
        <v>3039.1333333333332</v>
      </c>
      <c r="D33" s="65">
        <v>5.4477931369665571</v>
      </c>
      <c r="E33" s="65">
        <v>38.418339465399278</v>
      </c>
      <c r="F33" s="63">
        <v>900458</v>
      </c>
    </row>
    <row r="34" spans="1:6">
      <c r="A34" s="8" t="s">
        <v>11</v>
      </c>
      <c r="B34" s="16">
        <v>2876.4333333333334</v>
      </c>
      <c r="C34" s="16">
        <v>5027.3999999999996</v>
      </c>
      <c r="D34" s="65">
        <v>5.1106238370324375</v>
      </c>
      <c r="E34" s="65">
        <v>56.515202316615415</v>
      </c>
      <c r="F34" s="63">
        <v>424483.8</v>
      </c>
    </row>
    <row r="35" spans="1:6">
      <c r="A35" s="8" t="s">
        <v>12</v>
      </c>
      <c r="B35" s="16">
        <v>1808.3200000000002</v>
      </c>
      <c r="C35" s="16">
        <v>2118.2666666666669</v>
      </c>
      <c r="D35" s="65">
        <v>5.2412656270578806</v>
      </c>
      <c r="E35" s="65">
        <v>58.157644943256038</v>
      </c>
      <c r="F35" s="63">
        <v>334883.8</v>
      </c>
    </row>
    <row r="36" spans="1:6">
      <c r="A36" s="8" t="s">
        <v>13</v>
      </c>
      <c r="B36" s="16">
        <v>2114.98</v>
      </c>
      <c r="C36" s="16">
        <v>9941</v>
      </c>
      <c r="D36" s="65">
        <v>5.16164313964883</v>
      </c>
      <c r="E36" s="65">
        <v>52.781679661544075</v>
      </c>
      <c r="F36" s="63">
        <v>711156.2</v>
      </c>
    </row>
    <row r="37" spans="1:6">
      <c r="A37" s="8" t="s">
        <v>14</v>
      </c>
      <c r="B37" s="16">
        <v>4993.3399999999992</v>
      </c>
      <c r="C37" s="16">
        <v>11644.466666666667</v>
      </c>
      <c r="D37" s="65">
        <v>5.2080265596771538</v>
      </c>
      <c r="E37" s="65">
        <v>55.443789053287489</v>
      </c>
      <c r="F37" s="63">
        <v>485758.86666666664</v>
      </c>
    </row>
    <row r="38" spans="1:6">
      <c r="A38" s="8" t="s">
        <v>15</v>
      </c>
      <c r="B38" s="16">
        <v>5325.7800000000007</v>
      </c>
      <c r="C38" s="16">
        <v>42013.066666666666</v>
      </c>
      <c r="D38" s="65">
        <v>5.6835855510577415</v>
      </c>
      <c r="E38" s="65">
        <v>52.879669160540061</v>
      </c>
      <c r="F38" s="63">
        <v>868974.33333333337</v>
      </c>
    </row>
    <row r="41" spans="1:6">
      <c r="A41" t="s">
        <v>19</v>
      </c>
    </row>
    <row r="42" spans="1:6" ht="17" thickBot="1"/>
    <row r="43" spans="1:6">
      <c r="A43" s="12" t="s">
        <v>20</v>
      </c>
      <c r="B43" s="12"/>
    </row>
    <row r="44" spans="1:6">
      <c r="A44" t="s">
        <v>21</v>
      </c>
      <c r="B44">
        <v>0.78476888741596196</v>
      </c>
    </row>
    <row r="45" spans="1:6">
      <c r="A45" t="s">
        <v>22</v>
      </c>
      <c r="B45">
        <v>0.61586220665608682</v>
      </c>
    </row>
    <row r="46" spans="1:6">
      <c r="A46" t="s">
        <v>23</v>
      </c>
      <c r="B46">
        <v>0.47617573634920929</v>
      </c>
    </row>
    <row r="47" spans="1:6">
      <c r="A47" t="s">
        <v>24</v>
      </c>
      <c r="B47">
        <v>947.51203604460636</v>
      </c>
    </row>
    <row r="48" spans="1:6" ht="17" thickBot="1">
      <c r="A48" s="10" t="s">
        <v>25</v>
      </c>
      <c r="B48" s="10">
        <v>16</v>
      </c>
    </row>
    <row r="50" spans="1:9" ht="17" thickBot="1">
      <c r="A50" t="s">
        <v>26</v>
      </c>
    </row>
    <row r="51" spans="1:9">
      <c r="A51" s="11"/>
      <c r="B51" s="11" t="s">
        <v>31</v>
      </c>
      <c r="C51" s="11" t="s">
        <v>32</v>
      </c>
      <c r="D51" s="11" t="s">
        <v>33</v>
      </c>
      <c r="E51" s="11" t="s">
        <v>34</v>
      </c>
      <c r="F51" s="11" t="s">
        <v>35</v>
      </c>
    </row>
    <row r="52" spans="1:9">
      <c r="A52" t="s">
        <v>27</v>
      </c>
      <c r="B52">
        <v>4</v>
      </c>
      <c r="C52">
        <v>15832834.513223315</v>
      </c>
      <c r="D52">
        <v>3958208.6283058287</v>
      </c>
      <c r="E52">
        <v>4.4088894601109017</v>
      </c>
      <c r="F52">
        <v>2.2744181334362779E-2</v>
      </c>
      <c r="H52" t="s">
        <v>137</v>
      </c>
      <c r="I52">
        <v>3.36</v>
      </c>
    </row>
    <row r="53" spans="1:9">
      <c r="A53" t="s">
        <v>28</v>
      </c>
      <c r="B53">
        <v>11</v>
      </c>
      <c r="C53">
        <v>9875569.6429433506</v>
      </c>
      <c r="D53">
        <v>897779.05844939547</v>
      </c>
      <c r="H53" t="s">
        <v>138</v>
      </c>
      <c r="I53" t="s">
        <v>139</v>
      </c>
    </row>
    <row r="54" spans="1:9" ht="17" thickBot="1">
      <c r="A54" s="10" t="s">
        <v>29</v>
      </c>
      <c r="B54" s="10">
        <v>15</v>
      </c>
      <c r="C54" s="10">
        <v>25708404.156166665</v>
      </c>
      <c r="D54" s="10"/>
      <c r="E54" s="10"/>
      <c r="F54" s="10"/>
    </row>
    <row r="55" spans="1:9" ht="17" thickBot="1"/>
    <row r="56" spans="1:9">
      <c r="A56" s="11"/>
      <c r="B56" s="11" t="s">
        <v>36</v>
      </c>
      <c r="C56" s="11" t="s">
        <v>24</v>
      </c>
      <c r="D56" s="11" t="s">
        <v>37</v>
      </c>
      <c r="E56" s="11" t="s">
        <v>38</v>
      </c>
      <c r="F56" s="11" t="s">
        <v>39</v>
      </c>
      <c r="G56" s="11" t="s">
        <v>40</v>
      </c>
      <c r="H56" s="11" t="s">
        <v>41</v>
      </c>
      <c r="I56" s="11" t="s">
        <v>42</v>
      </c>
    </row>
    <row r="57" spans="1:9">
      <c r="A57" t="s">
        <v>30</v>
      </c>
      <c r="B57">
        <v>8008.9056952577648</v>
      </c>
      <c r="C57">
        <v>12451.878551026895</v>
      </c>
      <c r="D57">
        <v>0.64318854881517273</v>
      </c>
      <c r="E57">
        <v>0.53328042783449958</v>
      </c>
      <c r="F57">
        <v>-19397.494210815803</v>
      </c>
      <c r="G57">
        <v>35415.305601331333</v>
      </c>
      <c r="H57">
        <v>-19397.494210815803</v>
      </c>
      <c r="I57">
        <v>35415.305601331333</v>
      </c>
    </row>
    <row r="58" spans="1:9">
      <c r="A58" t="s">
        <v>71</v>
      </c>
      <c r="B58">
        <v>0.12338195889451087</v>
      </c>
      <c r="C58">
        <v>3.7643039327305838E-2</v>
      </c>
      <c r="D58">
        <v>3.2776832343877977</v>
      </c>
      <c r="E58">
        <v>7.3640072822302692E-3</v>
      </c>
      <c r="F58">
        <v>4.0530187954364791E-2</v>
      </c>
      <c r="G58">
        <v>0.20623372983465696</v>
      </c>
      <c r="H58">
        <v>4.0530187954364791E-2</v>
      </c>
      <c r="I58">
        <v>0.20623372983465696</v>
      </c>
    </row>
    <row r="59" spans="1:9">
      <c r="A59" t="s">
        <v>72</v>
      </c>
      <c r="B59">
        <v>-697.06406390177369</v>
      </c>
      <c r="C59">
        <v>2015.6883171845732</v>
      </c>
      <c r="D59">
        <v>-0.34581936996856877</v>
      </c>
      <c r="E59">
        <v>0.73600179879004124</v>
      </c>
      <c r="F59">
        <v>-5133.5641373951066</v>
      </c>
      <c r="G59">
        <v>3739.436009591559</v>
      </c>
      <c r="H59">
        <v>-5133.5641373951066</v>
      </c>
      <c r="I59">
        <v>3739.436009591559</v>
      </c>
    </row>
    <row r="60" spans="1:9">
      <c r="A60" t="s">
        <v>74</v>
      </c>
      <c r="B60">
        <v>-19.349195651327545</v>
      </c>
      <c r="C60">
        <v>57.738895268793293</v>
      </c>
      <c r="D60">
        <v>-0.33511544620399752</v>
      </c>
      <c r="E60">
        <v>0.74384166016472197</v>
      </c>
      <c r="F60">
        <v>-146.43164729802689</v>
      </c>
      <c r="G60">
        <v>107.73325599537181</v>
      </c>
      <c r="H60">
        <v>-146.43164729802689</v>
      </c>
      <c r="I60">
        <v>107.73325599537181</v>
      </c>
    </row>
    <row r="61" spans="1:9" ht="17" thickBot="1">
      <c r="A61" s="10" t="s">
        <v>75</v>
      </c>
      <c r="B61" s="10">
        <v>-3.2516075256267493E-3</v>
      </c>
      <c r="C61" s="10">
        <v>1.3283172650464963E-3</v>
      </c>
      <c r="D61" s="10">
        <v>-2.4479148251625942</v>
      </c>
      <c r="E61" s="10">
        <v>3.2365266691211932E-2</v>
      </c>
      <c r="F61" s="10">
        <v>-6.1752141138875991E-3</v>
      </c>
      <c r="G61" s="10">
        <v>-3.2800093736589931E-4</v>
      </c>
      <c r="H61" s="10">
        <v>-6.1752141138875991E-3</v>
      </c>
      <c r="I61" s="10">
        <v>-3.2800093736589931E-4</v>
      </c>
    </row>
    <row r="63" spans="1:9">
      <c r="C63" t="s">
        <v>140</v>
      </c>
      <c r="D63">
        <v>2.2000000000000002</v>
      </c>
    </row>
    <row r="65" spans="1:3">
      <c r="A65" t="s">
        <v>111</v>
      </c>
    </row>
    <row r="66" spans="1:3" ht="17" thickBot="1"/>
    <row r="67" spans="1:3">
      <c r="A67" s="11" t="s">
        <v>112</v>
      </c>
      <c r="B67" s="11" t="s">
        <v>113</v>
      </c>
      <c r="C67" s="11" t="s">
        <v>114</v>
      </c>
    </row>
    <row r="68" spans="1:3">
      <c r="A68">
        <v>1</v>
      </c>
      <c r="B68">
        <v>2399.3404412495061</v>
      </c>
      <c r="C68">
        <v>-491.94044124950574</v>
      </c>
    </row>
    <row r="69" spans="1:3">
      <c r="A69">
        <v>2</v>
      </c>
      <c r="B69">
        <v>2852.9903204225434</v>
      </c>
      <c r="C69">
        <v>-270.45698708921009</v>
      </c>
    </row>
    <row r="70" spans="1:3">
      <c r="A70">
        <v>3</v>
      </c>
      <c r="B70">
        <v>615.07868002261011</v>
      </c>
      <c r="C70">
        <v>576.02131997738979</v>
      </c>
    </row>
    <row r="71" spans="1:3">
      <c r="A71">
        <v>4</v>
      </c>
      <c r="B71">
        <v>2908.1517500790087</v>
      </c>
      <c r="C71">
        <v>237.99713880987974</v>
      </c>
    </row>
    <row r="72" spans="1:3">
      <c r="A72">
        <v>5</v>
      </c>
      <c r="B72">
        <v>3262.2518266411512</v>
      </c>
      <c r="C72">
        <v>58.821506692182083</v>
      </c>
    </row>
    <row r="73" spans="1:3">
      <c r="A73">
        <v>6</v>
      </c>
      <c r="B73">
        <v>2540.8360089761268</v>
      </c>
      <c r="C73">
        <v>-1470.4426756427936</v>
      </c>
    </row>
    <row r="74" spans="1:3">
      <c r="A74">
        <v>7</v>
      </c>
      <c r="B74">
        <v>2912.0245483077038</v>
      </c>
      <c r="C74">
        <v>-56.464548307703353</v>
      </c>
    </row>
    <row r="75" spans="1:3">
      <c r="A75">
        <v>8</v>
      </c>
      <c r="B75">
        <v>2311.51305039608</v>
      </c>
      <c r="C75">
        <v>-226.05305039607993</v>
      </c>
    </row>
    <row r="76" spans="1:3">
      <c r="A76">
        <v>9</v>
      </c>
      <c r="B76">
        <v>2843.6240072200508</v>
      </c>
      <c r="C76">
        <v>-1029.8040072200511</v>
      </c>
    </row>
    <row r="77" spans="1:3">
      <c r="A77">
        <v>10</v>
      </c>
      <c r="B77">
        <v>2602.8459461630005</v>
      </c>
      <c r="C77">
        <v>1437.8940538369998</v>
      </c>
    </row>
    <row r="78" spans="1:3">
      <c r="A78">
        <v>11</v>
      </c>
      <c r="B78">
        <v>915.1191196899947</v>
      </c>
      <c r="C78">
        <v>-40.125786356661365</v>
      </c>
    </row>
    <row r="79" spans="1:3">
      <c r="A79">
        <v>12</v>
      </c>
      <c r="B79">
        <v>2592.9855090037304</v>
      </c>
      <c r="C79">
        <v>283.44782432960301</v>
      </c>
    </row>
    <row r="80" spans="1:3">
      <c r="A80">
        <v>13</v>
      </c>
      <c r="B80">
        <v>2402.5493331484149</v>
      </c>
      <c r="C80">
        <v>-594.22933314841475</v>
      </c>
    </row>
    <row r="81" spans="1:5">
      <c r="A81">
        <v>14</v>
      </c>
      <c r="B81">
        <v>2303.76590690074</v>
      </c>
      <c r="C81">
        <v>-188.78590690073997</v>
      </c>
    </row>
    <row r="82" spans="1:5">
      <c r="A82">
        <v>15</v>
      </c>
      <c r="B82">
        <v>3163.0047357397571</v>
      </c>
      <c r="C82">
        <v>1830.3352642602422</v>
      </c>
    </row>
    <row r="83" spans="1:5" ht="17" thickBot="1">
      <c r="A83" s="10">
        <v>16</v>
      </c>
      <c r="B83" s="10">
        <v>5381.9943715951495</v>
      </c>
      <c r="C83" s="10">
        <v>-56.214371595148805</v>
      </c>
    </row>
    <row r="86" spans="1:5">
      <c r="A86" s="64"/>
      <c r="B86" s="1" t="s">
        <v>76</v>
      </c>
      <c r="C86" s="2" t="s">
        <v>71</v>
      </c>
      <c r="D86" s="2" t="s">
        <v>74</v>
      </c>
      <c r="E86" s="2" t="s">
        <v>75</v>
      </c>
    </row>
    <row r="87" spans="1:5">
      <c r="A87" s="8" t="s">
        <v>1</v>
      </c>
      <c r="B87" s="16">
        <v>1907.4000000000003</v>
      </c>
      <c r="C87" s="16">
        <v>5166.6000000000004</v>
      </c>
      <c r="D87" s="65">
        <v>58.659854289439131</v>
      </c>
      <c r="E87" s="63">
        <v>434199.86666666664</v>
      </c>
    </row>
    <row r="88" spans="1:5">
      <c r="A88" s="8" t="s">
        <v>2</v>
      </c>
      <c r="B88" s="16">
        <v>2582.5333333333333</v>
      </c>
      <c r="C88" s="16">
        <v>6248.8</v>
      </c>
      <c r="D88" s="65">
        <v>52.012057141546194</v>
      </c>
      <c r="E88" s="63">
        <v>425996.93333333335</v>
      </c>
    </row>
    <row r="89" spans="1:5">
      <c r="A89" s="8" t="s">
        <v>3</v>
      </c>
      <c r="B89" s="16">
        <v>1191.0999999999999</v>
      </c>
      <c r="C89" s="16">
        <v>2590.8666666666668</v>
      </c>
      <c r="D89" s="65">
        <v>51.201257735567715</v>
      </c>
      <c r="E89" s="63">
        <v>974092.80000000005</v>
      </c>
    </row>
    <row r="90" spans="1:5">
      <c r="A90" s="8" t="s">
        <v>4</v>
      </c>
      <c r="B90" s="16">
        <v>3146.1488888888885</v>
      </c>
      <c r="C90" s="16">
        <v>3812.8</v>
      </c>
      <c r="D90" s="65">
        <v>52.17390431176684</v>
      </c>
      <c r="E90" s="63">
        <v>303734.66666666669</v>
      </c>
    </row>
    <row r="91" spans="1:5">
      <c r="A91" s="8" t="s">
        <v>5</v>
      </c>
      <c r="B91" s="16">
        <v>3321.0733333333333</v>
      </c>
      <c r="C91" s="16">
        <v>8445.7999999999993</v>
      </c>
      <c r="D91" s="65">
        <v>53.08116827324163</v>
      </c>
      <c r="E91" s="63">
        <v>335477.33333333331</v>
      </c>
    </row>
    <row r="92" spans="1:5">
      <c r="A92" s="8" t="s">
        <v>6</v>
      </c>
      <c r="B92" s="16">
        <v>1070.3933333333332</v>
      </c>
      <c r="C92" s="16">
        <v>8099.6</v>
      </c>
      <c r="D92" s="65">
        <v>50.991659258009854</v>
      </c>
      <c r="E92" s="63">
        <v>554854.93333333335</v>
      </c>
    </row>
    <row r="93" spans="1:5">
      <c r="A93" s="8" t="s">
        <v>7</v>
      </c>
      <c r="B93" s="16">
        <v>2855.5600000000004</v>
      </c>
      <c r="C93" s="16">
        <v>13834.266666666666</v>
      </c>
      <c r="D93" s="65">
        <v>51.912820218070557</v>
      </c>
      <c r="E93" s="63">
        <v>701409.1333333333</v>
      </c>
    </row>
    <row r="94" spans="1:5">
      <c r="A94" s="8" t="s">
        <v>8</v>
      </c>
      <c r="B94" s="16">
        <v>2085.46</v>
      </c>
      <c r="C94" s="16">
        <v>6453.2</v>
      </c>
      <c r="D94" s="65">
        <v>59.393740500778058</v>
      </c>
      <c r="E94" s="63">
        <v>520758.73333333334</v>
      </c>
    </row>
    <row r="95" spans="1:5">
      <c r="A95" s="8" t="s">
        <v>9</v>
      </c>
      <c r="B95" s="16">
        <v>1813.8199999999997</v>
      </c>
      <c r="C95" s="16">
        <v>4070.2</v>
      </c>
      <c r="D95" s="65">
        <v>45.274321314000602</v>
      </c>
      <c r="E95" s="63">
        <v>336808.93333333335</v>
      </c>
    </row>
    <row r="96" spans="1:5">
      <c r="A96" s="8" t="s">
        <v>10</v>
      </c>
      <c r="B96" s="16">
        <v>4040.7400000000002</v>
      </c>
      <c r="C96" s="16">
        <v>1778.5333333333333</v>
      </c>
      <c r="D96" s="65">
        <v>46.867649109714435</v>
      </c>
      <c r="E96" s="63">
        <v>281357.40000000002</v>
      </c>
    </row>
    <row r="97" spans="1:5">
      <c r="A97" s="8" t="s">
        <v>68</v>
      </c>
      <c r="B97" s="16">
        <v>874.99333333333334</v>
      </c>
      <c r="C97" s="16">
        <v>3039.1333333333332</v>
      </c>
      <c r="D97" s="65">
        <v>38.418339465399278</v>
      </c>
      <c r="E97" s="63">
        <v>900458</v>
      </c>
    </row>
    <row r="98" spans="1:5">
      <c r="A98" s="8" t="s">
        <v>11</v>
      </c>
      <c r="B98" s="16">
        <v>2876.4333333333334</v>
      </c>
      <c r="C98" s="16">
        <v>5027.3999999999996</v>
      </c>
      <c r="D98" s="65">
        <v>56.515202316615415</v>
      </c>
      <c r="E98" s="63">
        <v>424483.8</v>
      </c>
    </row>
    <row r="99" spans="1:5">
      <c r="A99" s="8" t="s">
        <v>12</v>
      </c>
      <c r="B99" s="16">
        <v>1808.3200000000002</v>
      </c>
      <c r="C99" s="16">
        <v>2118.2666666666669</v>
      </c>
      <c r="D99" s="65">
        <v>58.157644943256038</v>
      </c>
      <c r="E99" s="63">
        <v>334883.8</v>
      </c>
    </row>
    <row r="100" spans="1:5">
      <c r="A100" s="8" t="s">
        <v>13</v>
      </c>
      <c r="B100" s="16">
        <v>2114.98</v>
      </c>
      <c r="C100" s="16">
        <v>9941</v>
      </c>
      <c r="D100" s="65">
        <v>52.781679661544075</v>
      </c>
      <c r="E100" s="63">
        <v>711156.2</v>
      </c>
    </row>
    <row r="101" spans="1:5">
      <c r="A101" s="8" t="s">
        <v>14</v>
      </c>
      <c r="B101" s="16">
        <v>4993.3399999999992</v>
      </c>
      <c r="C101" s="16">
        <v>11644.466666666667</v>
      </c>
      <c r="D101" s="65">
        <v>55.443789053287489</v>
      </c>
      <c r="E101" s="63">
        <v>485758.86666666664</v>
      </c>
    </row>
    <row r="102" spans="1:5">
      <c r="A102" s="8" t="s">
        <v>15</v>
      </c>
      <c r="B102" s="16">
        <v>5325.7800000000007</v>
      </c>
      <c r="C102" s="16">
        <v>42013.066666666666</v>
      </c>
      <c r="D102" s="65">
        <v>52.879669160540061</v>
      </c>
      <c r="E102" s="63">
        <v>868974.33333333337</v>
      </c>
    </row>
    <row r="105" spans="1:5">
      <c r="A105" t="s">
        <v>19</v>
      </c>
    </row>
    <row r="106" spans="1:5" ht="17" thickBot="1"/>
    <row r="107" spans="1:5">
      <c r="A107" s="12" t="s">
        <v>20</v>
      </c>
      <c r="B107" s="12"/>
    </row>
    <row r="108" spans="1:5">
      <c r="A108" t="s">
        <v>21</v>
      </c>
      <c r="B108">
        <v>0.78210350607112777</v>
      </c>
    </row>
    <row r="109" spans="1:5">
      <c r="A109" t="s">
        <v>22</v>
      </c>
      <c r="B109">
        <v>0.61168589420875064</v>
      </c>
    </row>
    <row r="110" spans="1:5">
      <c r="A110" t="s">
        <v>23</v>
      </c>
      <c r="B110">
        <v>0.51460736776093829</v>
      </c>
    </row>
    <row r="111" spans="1:5">
      <c r="A111" t="s">
        <v>24</v>
      </c>
      <c r="B111">
        <v>912.09173383775283</v>
      </c>
    </row>
    <row r="112" spans="1:5" ht="17" thickBot="1">
      <c r="A112" s="10" t="s">
        <v>25</v>
      </c>
      <c r="B112" s="10">
        <v>16</v>
      </c>
    </row>
    <row r="114" spans="1:9" ht="17" thickBot="1">
      <c r="A114" t="s">
        <v>26</v>
      </c>
    </row>
    <row r="115" spans="1:9">
      <c r="A115" s="11"/>
      <c r="B115" s="11" t="s">
        <v>31</v>
      </c>
      <c r="C115" s="11" t="s">
        <v>32</v>
      </c>
      <c r="D115" s="11" t="s">
        <v>33</v>
      </c>
      <c r="E115" s="11" t="s">
        <v>34</v>
      </c>
      <c r="F115" s="11" t="s">
        <v>35</v>
      </c>
    </row>
    <row r="116" spans="1:9">
      <c r="A116" t="s">
        <v>27</v>
      </c>
      <c r="B116">
        <v>3</v>
      </c>
      <c r="C116">
        <v>15725468.184944768</v>
      </c>
      <c r="D116">
        <v>5241822.7283149222</v>
      </c>
      <c r="E116">
        <v>6.3009392147869256</v>
      </c>
      <c r="F116">
        <v>8.2072703500101936E-3</v>
      </c>
    </row>
    <row r="117" spans="1:9">
      <c r="A117" t="s">
        <v>28</v>
      </c>
      <c r="B117">
        <v>12</v>
      </c>
      <c r="C117">
        <v>9982935.9712218978</v>
      </c>
      <c r="D117">
        <v>831911.33093515818</v>
      </c>
    </row>
    <row r="118" spans="1:9" ht="17" thickBot="1">
      <c r="A118" s="10" t="s">
        <v>29</v>
      </c>
      <c r="B118" s="10">
        <v>15</v>
      </c>
      <c r="C118" s="10">
        <v>25708404.156166665</v>
      </c>
      <c r="D118" s="10"/>
      <c r="E118" s="10"/>
      <c r="F118" s="10"/>
    </row>
    <row r="119" spans="1:9" ht="17" thickBot="1"/>
    <row r="120" spans="1:9">
      <c r="A120" s="11"/>
      <c r="B120" s="11" t="s">
        <v>36</v>
      </c>
      <c r="C120" s="11" t="s">
        <v>24</v>
      </c>
      <c r="D120" s="11" t="s">
        <v>37</v>
      </c>
      <c r="E120" s="11" t="s">
        <v>38</v>
      </c>
      <c r="F120" s="11" t="s">
        <v>39</v>
      </c>
      <c r="G120" s="11" t="s">
        <v>40</v>
      </c>
      <c r="H120" s="11" t="s">
        <v>41</v>
      </c>
      <c r="I120" s="11" t="s">
        <v>42</v>
      </c>
    </row>
    <row r="121" spans="1:9">
      <c r="A121" t="s">
        <v>30</v>
      </c>
      <c r="B121">
        <v>3817.3868302415744</v>
      </c>
      <c r="C121">
        <v>2746.6997055651473</v>
      </c>
      <c r="D121">
        <v>1.3898085846469073</v>
      </c>
      <c r="E121">
        <v>0.189831777890975</v>
      </c>
      <c r="F121">
        <v>-2167.1577274869674</v>
      </c>
      <c r="G121">
        <v>9801.9313879701167</v>
      </c>
      <c r="H121">
        <v>-2167.1577274869674</v>
      </c>
      <c r="I121">
        <v>9801.9313879701167</v>
      </c>
    </row>
    <row r="122" spans="1:9">
      <c r="A122" t="s">
        <v>71</v>
      </c>
      <c r="B122">
        <v>0.11509705530660887</v>
      </c>
      <c r="C122">
        <v>2.7949837229787264E-2</v>
      </c>
      <c r="D122">
        <v>4.1179866043708229</v>
      </c>
      <c r="E122">
        <v>1.4257733310040011E-3</v>
      </c>
      <c r="F122">
        <v>5.4199591363237626E-2</v>
      </c>
      <c r="G122">
        <v>0.17599451924998011</v>
      </c>
      <c r="H122">
        <v>5.4199591363237626E-2</v>
      </c>
      <c r="I122">
        <v>0.17599451924998011</v>
      </c>
    </row>
    <row r="123" spans="1:9">
      <c r="A123" t="s">
        <v>74</v>
      </c>
      <c r="B123">
        <v>-9.1686954467750645</v>
      </c>
      <c r="C123">
        <v>47.813499445098202</v>
      </c>
      <c r="D123">
        <v>-0.19175955646800144</v>
      </c>
      <c r="E123">
        <v>0.85113708843532754</v>
      </c>
      <c r="F123">
        <v>-113.34536146904193</v>
      </c>
      <c r="G123">
        <v>95.007970575491811</v>
      </c>
      <c r="H123">
        <v>-113.34536146904193</v>
      </c>
      <c r="I123">
        <v>95.007970575491811</v>
      </c>
    </row>
    <row r="124" spans="1:9" ht="17" thickBot="1">
      <c r="A124" s="10" t="s">
        <v>75</v>
      </c>
      <c r="B124" s="10">
        <v>-3.1256302083924625E-3</v>
      </c>
      <c r="C124" s="10">
        <v>1.2296368947772082E-3</v>
      </c>
      <c r="D124" s="10">
        <v>-2.541913162876249</v>
      </c>
      <c r="E124" s="10">
        <v>2.5847221618586966E-2</v>
      </c>
      <c r="F124" s="10">
        <v>-5.8047788505652155E-3</v>
      </c>
      <c r="G124" s="10">
        <v>-4.4648156621970956E-4</v>
      </c>
      <c r="H124" s="10">
        <v>-5.8047788505652155E-3</v>
      </c>
      <c r="I124" s="10">
        <v>-4.4648156621970956E-4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459C-F06E-F64D-AB2B-FF4A720553D4}">
  <dimension ref="A2:U66"/>
  <sheetViews>
    <sheetView topLeftCell="A13" zoomScale="112" workbookViewId="0">
      <selection activeCell="A69" sqref="A69"/>
    </sheetView>
  </sheetViews>
  <sheetFormatPr baseColWidth="10" defaultRowHeight="16"/>
  <cols>
    <col min="2" max="2" width="11" bestFit="1" customWidth="1"/>
    <col min="3" max="3" width="11.6640625" bestFit="1" customWidth="1"/>
    <col min="4" max="4" width="11" bestFit="1" customWidth="1"/>
    <col min="5" max="5" width="13.6640625" bestFit="1" customWidth="1"/>
    <col min="6" max="6" width="11" bestFit="1" customWidth="1"/>
    <col min="7" max="7" width="12.6640625" bestFit="1" customWidth="1"/>
    <col min="10" max="10" width="8.6640625" bestFit="1" customWidth="1"/>
    <col min="11" max="11" width="11.33203125" bestFit="1" customWidth="1"/>
  </cols>
  <sheetData>
    <row r="2" spans="1:12">
      <c r="B2" s="1"/>
      <c r="C2" s="1"/>
      <c r="D2" s="1"/>
      <c r="E2" s="1"/>
      <c r="F2" s="1"/>
      <c r="G2" s="1"/>
    </row>
    <row r="3" spans="1:12">
      <c r="A3" s="64"/>
      <c r="B3" s="1" t="s">
        <v>76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I3" s="2" t="s">
        <v>77</v>
      </c>
      <c r="J3" s="2" t="s">
        <v>89</v>
      </c>
      <c r="K3" s="2" t="s">
        <v>87</v>
      </c>
      <c r="L3" s="59"/>
    </row>
    <row r="4" spans="1:12">
      <c r="A4" s="8" t="s">
        <v>1</v>
      </c>
      <c r="B4" s="16">
        <v>1907.4000000000003</v>
      </c>
      <c r="C4" s="16">
        <v>5166.6000000000004</v>
      </c>
      <c r="D4" s="65">
        <v>5.3082092778058581</v>
      </c>
      <c r="E4" s="16">
        <v>740357</v>
      </c>
      <c r="F4" s="65">
        <v>58.659854289439131</v>
      </c>
      <c r="G4" s="63">
        <v>434199.86666666664</v>
      </c>
      <c r="I4" s="60">
        <f>$B$39+$B$40*C4+$B$41*D4+$B$42*E4+$B$43*F4+$B$44*G4</f>
        <v>2387.9845666857777</v>
      </c>
      <c r="J4" s="67">
        <f>B4-I4</f>
        <v>-480.58456668577742</v>
      </c>
      <c r="K4" s="67">
        <f>J4^2</f>
        <v>230961.52573655645</v>
      </c>
      <c r="L4" s="13"/>
    </row>
    <row r="5" spans="1:12">
      <c r="A5" s="8" t="s">
        <v>2</v>
      </c>
      <c r="B5" s="16">
        <v>2582.5333333333333</v>
      </c>
      <c r="C5" s="16">
        <v>6248.8</v>
      </c>
      <c r="D5" s="65">
        <v>5.0717551491695207</v>
      </c>
      <c r="E5" s="16">
        <v>821060.4</v>
      </c>
      <c r="F5" s="65">
        <v>52.012057141546194</v>
      </c>
      <c r="G5" s="63">
        <v>425996.93333333335</v>
      </c>
      <c r="I5" s="60">
        <f>$B$39+$B$40*C5+$B$41*D5+$B$42*E5+$B$43*F5+$B$44*G5</f>
        <v>2834.1941974018646</v>
      </c>
      <c r="J5" s="67">
        <f t="shared" ref="J5:J19" si="0">B5-I5</f>
        <v>-251.66086406853128</v>
      </c>
      <c r="K5" s="67">
        <f t="shared" ref="K5:K19" si="1">J5^2</f>
        <v>63333.190503719779</v>
      </c>
      <c r="L5" s="13"/>
    </row>
    <row r="6" spans="1:12">
      <c r="A6" s="8" t="s">
        <v>3</v>
      </c>
      <c r="B6" s="16">
        <v>1191.0999999999999</v>
      </c>
      <c r="C6" s="16">
        <v>2590.8666666666668</v>
      </c>
      <c r="D6" s="65">
        <v>5.1005678979394506</v>
      </c>
      <c r="E6" s="16">
        <v>1901185.4666666666</v>
      </c>
      <c r="F6" s="65">
        <v>51.201257735567715</v>
      </c>
      <c r="G6" s="63">
        <v>974092.80000000005</v>
      </c>
      <c r="I6" s="60">
        <f t="shared" ref="I6:I19" si="2">$B$39+$B$40*C6+$B$41*D6+$B$42*E6+$B$43*F6+$B$44*G6</f>
        <v>699.73622731108958</v>
      </c>
      <c r="J6" s="67">
        <f t="shared" si="0"/>
        <v>491.36377268891033</v>
      </c>
      <c r="K6" s="67">
        <f t="shared" si="1"/>
        <v>241438.35711107915</v>
      </c>
      <c r="L6" s="13"/>
    </row>
    <row r="7" spans="1:12">
      <c r="A7" s="8" t="s">
        <v>4</v>
      </c>
      <c r="B7" s="16">
        <v>3146.1488888888885</v>
      </c>
      <c r="C7" s="16">
        <v>3812.8</v>
      </c>
      <c r="D7" s="65">
        <v>5.1272700068587911</v>
      </c>
      <c r="E7" s="16">
        <v>582669.06666666665</v>
      </c>
      <c r="F7" s="65">
        <v>52.17390431176684</v>
      </c>
      <c r="G7" s="63">
        <v>303734.66666666669</v>
      </c>
      <c r="I7" s="60">
        <f t="shared" si="2"/>
        <v>2888.36786037516</v>
      </c>
      <c r="J7" s="67">
        <f t="shared" si="0"/>
        <v>257.78102851372842</v>
      </c>
      <c r="K7" s="67">
        <f t="shared" si="1"/>
        <v>66451.058661595656</v>
      </c>
      <c r="L7" s="13"/>
    </row>
    <row r="8" spans="1:12">
      <c r="A8" s="8" t="s">
        <v>5</v>
      </c>
      <c r="B8" s="16">
        <v>3321.0733333333333</v>
      </c>
      <c r="C8" s="16">
        <v>8445.7999999999993</v>
      </c>
      <c r="D8" s="65">
        <v>5.2660793678517441</v>
      </c>
      <c r="E8" s="16">
        <v>632635.53333333333</v>
      </c>
      <c r="F8" s="65">
        <v>53.08116827324163</v>
      </c>
      <c r="G8" s="63">
        <v>335477.33333333331</v>
      </c>
      <c r="I8" s="60">
        <f t="shared" si="2"/>
        <v>3244.1500564126527</v>
      </c>
      <c r="J8" s="67">
        <f t="shared" si="0"/>
        <v>76.923276920680564</v>
      </c>
      <c r="K8" s="67">
        <f t="shared" si="1"/>
        <v>5917.1905322157072</v>
      </c>
      <c r="L8" s="13"/>
    </row>
    <row r="9" spans="1:12">
      <c r="A9" s="8" t="s">
        <v>6</v>
      </c>
      <c r="B9" s="16">
        <v>1070.3933333333332</v>
      </c>
      <c r="C9" s="16">
        <v>8099.6</v>
      </c>
      <c r="D9" s="65">
        <v>5.2744020564440524</v>
      </c>
      <c r="E9" s="16">
        <v>1091768.2</v>
      </c>
      <c r="F9" s="65">
        <v>50.991659258009854</v>
      </c>
      <c r="G9" s="63">
        <v>554854.93333333335</v>
      </c>
      <c r="I9" s="60">
        <f t="shared" si="2"/>
        <v>2567.8004356860783</v>
      </c>
      <c r="J9" s="67">
        <f t="shared" si="0"/>
        <v>-1497.4071023527451</v>
      </c>
      <c r="K9" s="67">
        <f t="shared" si="1"/>
        <v>2242228.0301764444</v>
      </c>
      <c r="L9" s="13"/>
    </row>
    <row r="10" spans="1:12">
      <c r="A10" s="8" t="s">
        <v>7</v>
      </c>
      <c r="B10" s="16">
        <v>2855.5600000000004</v>
      </c>
      <c r="C10" s="16">
        <v>13834.266666666666</v>
      </c>
      <c r="D10" s="65">
        <v>5.0477448468016402</v>
      </c>
      <c r="E10" s="16">
        <v>1351016.7333333334</v>
      </c>
      <c r="F10" s="65">
        <v>51.912820218070557</v>
      </c>
      <c r="G10" s="63">
        <v>701409.1333333333</v>
      </c>
      <c r="I10" s="60">
        <f t="shared" si="2"/>
        <v>2903.7263649841589</v>
      </c>
      <c r="J10" s="67">
        <f t="shared" si="0"/>
        <v>-48.166364984158463</v>
      </c>
      <c r="K10" s="67">
        <f t="shared" si="1"/>
        <v>2319.9987157871665</v>
      </c>
      <c r="L10" s="13"/>
    </row>
    <row r="11" spans="1:12">
      <c r="A11" s="8" t="s">
        <v>8</v>
      </c>
      <c r="B11" s="16">
        <v>2085.46</v>
      </c>
      <c r="C11" s="16">
        <v>6453.2</v>
      </c>
      <c r="D11" s="65">
        <v>5.237792577925779</v>
      </c>
      <c r="E11" s="16">
        <v>876532</v>
      </c>
      <c r="F11" s="65">
        <v>59.393740500778058</v>
      </c>
      <c r="G11" s="63">
        <v>520758.73333333334</v>
      </c>
      <c r="I11" s="60">
        <f t="shared" si="2"/>
        <v>2307.2177706953826</v>
      </c>
      <c r="J11" s="67">
        <f t="shared" si="0"/>
        <v>-221.75777069538253</v>
      </c>
      <c r="K11" s="67">
        <f t="shared" si="1"/>
        <v>49176.508863785857</v>
      </c>
      <c r="L11" s="13"/>
    </row>
    <row r="12" spans="1:12">
      <c r="A12" s="8" t="s">
        <v>9</v>
      </c>
      <c r="B12" s="16">
        <v>1813.8199999999997</v>
      </c>
      <c r="C12" s="16">
        <v>4070.2</v>
      </c>
      <c r="D12" s="65">
        <v>5.3026385452002867</v>
      </c>
      <c r="E12" s="16">
        <v>745924.73333333328</v>
      </c>
      <c r="F12" s="65">
        <v>45.274321314000602</v>
      </c>
      <c r="G12" s="63">
        <v>336808.93333333335</v>
      </c>
      <c r="I12" s="60">
        <f t="shared" si="2"/>
        <v>2894.5733228360373</v>
      </c>
      <c r="J12" s="67">
        <f t="shared" si="0"/>
        <v>-1080.7533228360376</v>
      </c>
      <c r="K12" s="67">
        <f t="shared" si="1"/>
        <v>1168027.7448211364</v>
      </c>
      <c r="L12" s="13"/>
    </row>
    <row r="13" spans="1:12">
      <c r="A13" s="8" t="s">
        <v>10</v>
      </c>
      <c r="B13" s="16">
        <v>4040.7400000000002</v>
      </c>
      <c r="C13" s="16">
        <v>1778.5333333333333</v>
      </c>
      <c r="D13" s="65">
        <v>5.4568636100056009</v>
      </c>
      <c r="E13" s="16">
        <v>599845.53333333333</v>
      </c>
      <c r="F13" s="65">
        <v>46.867649109714435</v>
      </c>
      <c r="G13" s="63">
        <v>281357.40000000002</v>
      </c>
      <c r="I13" s="60">
        <f t="shared" si="2"/>
        <v>2681.8687962577933</v>
      </c>
      <c r="J13" s="67">
        <f t="shared" si="0"/>
        <v>1358.8712037422069</v>
      </c>
      <c r="K13" s="67">
        <f t="shared" si="1"/>
        <v>1846530.9483597944</v>
      </c>
      <c r="L13" s="13"/>
    </row>
    <row r="14" spans="1:12">
      <c r="A14" s="8" t="s">
        <v>68</v>
      </c>
      <c r="B14" s="16">
        <v>874.99333333333334</v>
      </c>
      <c r="C14" s="16">
        <v>3039.1333333333332</v>
      </c>
      <c r="D14" s="65">
        <v>5.4477931369665571</v>
      </c>
      <c r="E14" s="16">
        <v>2374142.7333333334</v>
      </c>
      <c r="F14" s="65">
        <v>38.418339465399278</v>
      </c>
      <c r="G14" s="63">
        <v>900458</v>
      </c>
      <c r="I14" s="60">
        <f t="shared" si="2"/>
        <v>811.79424670565277</v>
      </c>
      <c r="J14" s="67">
        <f t="shared" si="0"/>
        <v>63.199086627680572</v>
      </c>
      <c r="K14" s="67">
        <f t="shared" si="1"/>
        <v>3994.1245505730731</v>
      </c>
      <c r="L14" s="13"/>
    </row>
    <row r="15" spans="1:12">
      <c r="A15" s="8" t="s">
        <v>11</v>
      </c>
      <c r="B15" s="16">
        <v>2876.4333333333334</v>
      </c>
      <c r="C15" s="16">
        <v>5027.3999999999996</v>
      </c>
      <c r="D15" s="65">
        <v>5.1106238370324375</v>
      </c>
      <c r="E15" s="16">
        <v>751228.73333333328</v>
      </c>
      <c r="F15" s="65">
        <v>56.515202316615415</v>
      </c>
      <c r="G15" s="63">
        <v>424483.8</v>
      </c>
      <c r="I15" s="60">
        <f t="shared" si="2"/>
        <v>2561.6931164308562</v>
      </c>
      <c r="J15" s="67">
        <f t="shared" si="0"/>
        <v>314.74021690247719</v>
      </c>
      <c r="K15" s="67">
        <f t="shared" si="1"/>
        <v>99061.404135818389</v>
      </c>
      <c r="L15" s="13"/>
    </row>
    <row r="16" spans="1:12">
      <c r="A16" s="8" t="s">
        <v>12</v>
      </c>
      <c r="B16" s="16">
        <v>1808.3200000000002</v>
      </c>
      <c r="C16" s="16">
        <v>2118.2666666666669</v>
      </c>
      <c r="D16" s="65">
        <v>5.2412656270578806</v>
      </c>
      <c r="E16" s="16">
        <v>574834</v>
      </c>
      <c r="F16" s="65">
        <v>58.157644943256038</v>
      </c>
      <c r="G16" s="63">
        <v>334883.8</v>
      </c>
      <c r="I16" s="60">
        <f t="shared" si="2"/>
        <v>2367.061795132483</v>
      </c>
      <c r="J16" s="67">
        <f t="shared" si="0"/>
        <v>-558.74179513248282</v>
      </c>
      <c r="K16" s="67">
        <f t="shared" si="1"/>
        <v>312192.39362786943</v>
      </c>
      <c r="L16" s="13"/>
    </row>
    <row r="17" spans="1:17">
      <c r="A17" s="8" t="s">
        <v>13</v>
      </c>
      <c r="B17" s="16">
        <v>2114.98</v>
      </c>
      <c r="C17" s="16">
        <v>9941</v>
      </c>
      <c r="D17" s="65">
        <v>5.16164313964883</v>
      </c>
      <c r="E17" s="16">
        <v>1346907.1333333333</v>
      </c>
      <c r="F17" s="65">
        <v>52.781679661544075</v>
      </c>
      <c r="G17" s="63">
        <v>711156.2</v>
      </c>
      <c r="I17" s="60">
        <f t="shared" si="2"/>
        <v>2334.0734365999365</v>
      </c>
      <c r="J17" s="67">
        <f t="shared" si="0"/>
        <v>-219.09343659993647</v>
      </c>
      <c r="K17" s="67">
        <f t="shared" si="1"/>
        <v>48001.933961170384</v>
      </c>
      <c r="L17" s="13"/>
    </row>
    <row r="18" spans="1:17">
      <c r="A18" s="8" t="s">
        <v>14</v>
      </c>
      <c r="B18" s="16">
        <v>4993.3399999999992</v>
      </c>
      <c r="C18" s="16">
        <v>11644.466666666667</v>
      </c>
      <c r="D18" s="65">
        <v>5.2080265596771538</v>
      </c>
      <c r="E18" s="16">
        <v>887533.46666666667</v>
      </c>
      <c r="F18" s="65">
        <v>55.443789053287489</v>
      </c>
      <c r="G18" s="63">
        <v>485758.86666666664</v>
      </c>
      <c r="I18" s="60">
        <f t="shared" si="2"/>
        <v>3133.5084119193916</v>
      </c>
      <c r="J18" s="67">
        <f t="shared" si="0"/>
        <v>1859.8315880806076</v>
      </c>
      <c r="K18" s="67">
        <f t="shared" si="1"/>
        <v>3458973.5360224349</v>
      </c>
      <c r="L18" s="13"/>
    </row>
    <row r="19" spans="1:17">
      <c r="A19" s="8" t="s">
        <v>15</v>
      </c>
      <c r="B19" s="16">
        <v>5325.7800000000007</v>
      </c>
      <c r="C19" s="16">
        <v>42013.066666666666</v>
      </c>
      <c r="D19" s="65">
        <v>5.6835855510577415</v>
      </c>
      <c r="E19" s="16">
        <v>1644614.9333333333</v>
      </c>
      <c r="F19" s="65">
        <v>52.879669160540061</v>
      </c>
      <c r="G19" s="63">
        <v>868974.33333333337</v>
      </c>
      <c r="I19" s="60">
        <f t="shared" si="2"/>
        <v>5390.3249501212613</v>
      </c>
      <c r="J19" s="67">
        <f t="shared" si="0"/>
        <v>-64.544950121260626</v>
      </c>
      <c r="K19" s="67">
        <f t="shared" si="1"/>
        <v>4166.0505861560223</v>
      </c>
    </row>
    <row r="23" spans="1:17">
      <c r="A23" t="s">
        <v>19</v>
      </c>
    </row>
    <row r="24" spans="1:17" ht="17" thickBot="1">
      <c r="L24" s="61"/>
      <c r="M24" s="61"/>
    </row>
    <row r="25" spans="1:17">
      <c r="A25" s="12" t="s">
        <v>20</v>
      </c>
      <c r="B25" s="12"/>
    </row>
    <row r="26" spans="1:17">
      <c r="A26" t="s">
        <v>21</v>
      </c>
      <c r="B26">
        <v>0.78558124003454277</v>
      </c>
    </row>
    <row r="27" spans="1:17">
      <c r="A27" t="s">
        <v>22</v>
      </c>
      <c r="B27">
        <v>0.61713788469420983</v>
      </c>
    </row>
    <row r="28" spans="1:17">
      <c r="A28" t="s">
        <v>23</v>
      </c>
      <c r="B28">
        <v>0.42570682704131474</v>
      </c>
    </row>
    <row r="29" spans="1:17">
      <c r="A29" t="s">
        <v>24</v>
      </c>
      <c r="B29">
        <v>992.10755447008557</v>
      </c>
    </row>
    <row r="30" spans="1:17" ht="17" thickBot="1">
      <c r="A30" s="10" t="s">
        <v>25</v>
      </c>
      <c r="B30" s="10">
        <v>16</v>
      </c>
    </row>
    <row r="32" spans="1:17" ht="17" thickBot="1">
      <c r="A32" t="s">
        <v>26</v>
      </c>
      <c r="L32" s="62"/>
      <c r="M32" s="62"/>
      <c r="N32" s="62"/>
      <c r="O32" s="62"/>
      <c r="P32" s="62"/>
      <c r="Q32" s="62"/>
    </row>
    <row r="33" spans="1:21">
      <c r="A33" s="11"/>
      <c r="B33" s="11" t="s">
        <v>31</v>
      </c>
      <c r="C33" s="11" t="s">
        <v>32</v>
      </c>
      <c r="D33" s="11" t="s">
        <v>33</v>
      </c>
      <c r="E33" s="11" t="s">
        <v>34</v>
      </c>
      <c r="F33" s="11" t="s">
        <v>35</v>
      </c>
    </row>
    <row r="34" spans="1:21">
      <c r="A34" t="s">
        <v>27</v>
      </c>
      <c r="B34">
        <v>5</v>
      </c>
      <c r="C34">
        <v>15865630.159800528</v>
      </c>
      <c r="D34">
        <v>3173126.0319601055</v>
      </c>
      <c r="E34">
        <v>3.2238127514983019</v>
      </c>
      <c r="F34">
        <v>5.4350607650862179E-2</v>
      </c>
      <c r="H34" t="s">
        <v>137</v>
      </c>
      <c r="I34">
        <f>3.33</f>
        <v>3.33</v>
      </c>
    </row>
    <row r="35" spans="1:21">
      <c r="A35" t="s">
        <v>28</v>
      </c>
      <c r="B35">
        <v>10</v>
      </c>
      <c r="C35">
        <v>9842773.9963661376</v>
      </c>
      <c r="D35">
        <v>984277.39963661379</v>
      </c>
    </row>
    <row r="36" spans="1:21" ht="17" thickBot="1">
      <c r="A36" s="10" t="s">
        <v>29</v>
      </c>
      <c r="B36" s="10">
        <v>15</v>
      </c>
      <c r="C36" s="10">
        <v>25708404.156166665</v>
      </c>
      <c r="D36" s="10"/>
      <c r="E36" s="10"/>
      <c r="F36" s="10"/>
    </row>
    <row r="37" spans="1:21" ht="17" thickBot="1">
      <c r="L37" s="62"/>
      <c r="M37" s="62"/>
      <c r="N37" s="62"/>
      <c r="O37" s="62"/>
      <c r="P37" s="62"/>
      <c r="Q37" s="62"/>
      <c r="R37" s="62"/>
      <c r="S37" s="62"/>
      <c r="T37" s="62"/>
    </row>
    <row r="38" spans="1:21">
      <c r="A38" s="11"/>
      <c r="B38" s="11" t="s">
        <v>36</v>
      </c>
      <c r="C38" s="11" t="s">
        <v>24</v>
      </c>
      <c r="D38" s="11" t="s">
        <v>37</v>
      </c>
      <c r="E38" s="11" t="s">
        <v>38</v>
      </c>
      <c r="F38" s="11" t="s">
        <v>39</v>
      </c>
      <c r="G38" s="11" t="s">
        <v>40</v>
      </c>
      <c r="H38" s="11" t="s">
        <v>41</v>
      </c>
      <c r="I38" s="11" t="s">
        <v>42</v>
      </c>
    </row>
    <row r="39" spans="1:21">
      <c r="A39" t="s">
        <v>30</v>
      </c>
      <c r="B39">
        <v>7945.4347550281873</v>
      </c>
      <c r="C39">
        <v>13042.573486239318</v>
      </c>
      <c r="D39">
        <v>0.6091922551489618</v>
      </c>
      <c r="E39">
        <v>0.55598344006291867</v>
      </c>
      <c r="F39">
        <v>-21115.229959547709</v>
      </c>
      <c r="G39">
        <v>37006.09946960408</v>
      </c>
      <c r="H39">
        <v>-21115.229959547709</v>
      </c>
      <c r="I39">
        <v>37006.09946960408</v>
      </c>
      <c r="U39" s="62"/>
    </row>
    <row r="40" spans="1:21">
      <c r="A40" t="s">
        <v>71</v>
      </c>
      <c r="B40">
        <v>0.11919861281061239</v>
      </c>
      <c r="C40">
        <v>4.5593324536235082E-2</v>
      </c>
      <c r="D40">
        <v>2.6143873916428237</v>
      </c>
      <c r="E40">
        <v>2.5845466508007835E-2</v>
      </c>
      <c r="F40">
        <v>1.7610355020207923E-2</v>
      </c>
      <c r="G40">
        <v>0.22078687060101687</v>
      </c>
      <c r="H40">
        <v>1.7610355020207923E-2</v>
      </c>
      <c r="I40">
        <v>0.22078687060101687</v>
      </c>
    </row>
    <row r="41" spans="1:21">
      <c r="A41" t="s">
        <v>72</v>
      </c>
      <c r="B41">
        <v>-536.08371592056585</v>
      </c>
      <c r="C41">
        <v>2287.4046135460676</v>
      </c>
      <c r="D41">
        <v>-0.23436330972922964</v>
      </c>
      <c r="E41">
        <v>0.81943164723922557</v>
      </c>
      <c r="F41">
        <v>-5632.7388055752081</v>
      </c>
      <c r="G41">
        <v>4560.5713737340766</v>
      </c>
      <c r="H41">
        <v>-5632.7388055752081</v>
      </c>
      <c r="I41">
        <v>4560.5713737340766</v>
      </c>
    </row>
    <row r="42" spans="1:21">
      <c r="A42" t="s">
        <v>73</v>
      </c>
      <c r="B42">
        <v>-6.9966959282296388E-4</v>
      </c>
      <c r="C42">
        <v>3.8330427059949483E-3</v>
      </c>
      <c r="D42">
        <v>-0.18253634161932711</v>
      </c>
      <c r="E42">
        <v>0.85880929443414944</v>
      </c>
      <c r="F42">
        <v>-9.2402209673729113E-3</v>
      </c>
      <c r="G42">
        <v>7.8408817817269827E-3</v>
      </c>
      <c r="H42">
        <v>-9.2402209673729113E-3</v>
      </c>
      <c r="I42">
        <v>7.8408817817269827E-3</v>
      </c>
    </row>
    <row r="43" spans="1:21">
      <c r="A43" t="s">
        <v>74</v>
      </c>
      <c r="B43">
        <v>-34.991618980117501</v>
      </c>
      <c r="C43">
        <v>104.87414414766926</v>
      </c>
      <c r="D43">
        <v>-0.33365344017346305</v>
      </c>
      <c r="E43">
        <v>0.74553192833508786</v>
      </c>
      <c r="F43">
        <v>-268.66577412434833</v>
      </c>
      <c r="G43">
        <v>198.68253616411332</v>
      </c>
      <c r="H43">
        <v>-268.66577412434833</v>
      </c>
      <c r="I43">
        <v>198.68253616411332</v>
      </c>
    </row>
    <row r="44" spans="1:21" ht="17" thickBot="1">
      <c r="A44" s="10" t="s">
        <v>75</v>
      </c>
      <c r="B44" s="10">
        <v>-1.7435487512063607E-3</v>
      </c>
      <c r="C44" s="10">
        <v>8.3779445747134973E-3</v>
      </c>
      <c r="D44" s="10">
        <v>-0.20811175529482245</v>
      </c>
      <c r="E44" s="10">
        <v>0.83931913809461067</v>
      </c>
      <c r="F44" s="10">
        <v>-2.041077255791313E-2</v>
      </c>
      <c r="G44" s="10">
        <v>1.6923675055500405E-2</v>
      </c>
      <c r="H44" s="10">
        <v>-2.041077255791313E-2</v>
      </c>
      <c r="I44" s="10">
        <v>1.6923675055500405E-2</v>
      </c>
    </row>
    <row r="45" spans="1:21">
      <c r="D45">
        <v>4.1100000000000003</v>
      </c>
    </row>
    <row r="48" spans="1:21">
      <c r="A48" t="s">
        <v>111</v>
      </c>
      <c r="E48" t="s">
        <v>115</v>
      </c>
    </row>
    <row r="49" spans="1:6" ht="17" thickBot="1"/>
    <row r="50" spans="1:6">
      <c r="A50" s="11" t="s">
        <v>112</v>
      </c>
      <c r="B50" s="11" t="s">
        <v>113</v>
      </c>
      <c r="C50" s="11" t="s">
        <v>114</v>
      </c>
      <c r="E50" s="11" t="s">
        <v>116</v>
      </c>
      <c r="F50" s="11" t="s">
        <v>76</v>
      </c>
    </row>
    <row r="51" spans="1:6">
      <c r="A51">
        <v>1</v>
      </c>
      <c r="B51">
        <v>2387.9845666857777</v>
      </c>
      <c r="C51">
        <v>-480.58456668577742</v>
      </c>
      <c r="E51">
        <v>3.125</v>
      </c>
      <c r="F51">
        <v>874.99333333333334</v>
      </c>
    </row>
    <row r="52" spans="1:6">
      <c r="A52">
        <v>2</v>
      </c>
      <c r="B52">
        <v>2834.1941974018655</v>
      </c>
      <c r="C52">
        <v>-251.66086406853219</v>
      </c>
      <c r="E52">
        <v>9.375</v>
      </c>
      <c r="F52">
        <v>1070.3933333333332</v>
      </c>
    </row>
    <row r="53" spans="1:6">
      <c r="A53">
        <v>3</v>
      </c>
      <c r="B53">
        <v>699.73622731108958</v>
      </c>
      <c r="C53">
        <v>491.36377268891033</v>
      </c>
      <c r="E53">
        <v>15.625</v>
      </c>
      <c r="F53">
        <v>1191.0999999999999</v>
      </c>
    </row>
    <row r="54" spans="1:6">
      <c r="A54">
        <v>4</v>
      </c>
      <c r="B54">
        <v>2888.3678603751591</v>
      </c>
      <c r="C54">
        <v>257.78102851372932</v>
      </c>
      <c r="E54">
        <v>21.875</v>
      </c>
      <c r="F54">
        <v>1808.3200000000002</v>
      </c>
    </row>
    <row r="55" spans="1:6">
      <c r="A55">
        <v>5</v>
      </c>
      <c r="B55">
        <v>3244.1500564126527</v>
      </c>
      <c r="C55">
        <v>76.923276920680564</v>
      </c>
      <c r="E55">
        <v>28.125</v>
      </c>
      <c r="F55">
        <v>1813.8199999999997</v>
      </c>
    </row>
    <row r="56" spans="1:6">
      <c r="A56">
        <v>6</v>
      </c>
      <c r="B56">
        <v>2567.800435686077</v>
      </c>
      <c r="C56">
        <v>-1497.4071023527438</v>
      </c>
      <c r="E56">
        <v>34.375</v>
      </c>
      <c r="F56">
        <v>1907.4000000000003</v>
      </c>
    </row>
    <row r="57" spans="1:6">
      <c r="A57">
        <v>7</v>
      </c>
      <c r="B57">
        <v>2903.7263649841593</v>
      </c>
      <c r="C57">
        <v>-48.166364984158918</v>
      </c>
      <c r="E57">
        <v>40.625</v>
      </c>
      <c r="F57">
        <v>2085.46</v>
      </c>
    </row>
    <row r="58" spans="1:6">
      <c r="A58">
        <v>8</v>
      </c>
      <c r="B58">
        <v>2307.2177706953826</v>
      </c>
      <c r="C58">
        <v>-221.75777069538253</v>
      </c>
      <c r="E58">
        <v>46.875</v>
      </c>
      <c r="F58">
        <v>2114.98</v>
      </c>
    </row>
    <row r="59" spans="1:6">
      <c r="A59">
        <v>9</v>
      </c>
      <c r="B59">
        <v>2894.5733228360373</v>
      </c>
      <c r="C59">
        <v>-1080.7533228360376</v>
      </c>
      <c r="E59">
        <v>53.125</v>
      </c>
      <c r="F59">
        <v>2582.5333333333333</v>
      </c>
    </row>
    <row r="60" spans="1:6">
      <c r="A60">
        <v>10</v>
      </c>
      <c r="B60">
        <v>2681.8687962577928</v>
      </c>
      <c r="C60">
        <v>1358.8712037422074</v>
      </c>
      <c r="E60">
        <v>59.375</v>
      </c>
      <c r="F60">
        <v>2855.5600000000004</v>
      </c>
    </row>
    <row r="61" spans="1:6">
      <c r="A61">
        <v>11</v>
      </c>
      <c r="B61">
        <v>811.79424670565288</v>
      </c>
      <c r="C61">
        <v>63.199086627680458</v>
      </c>
      <c r="E61">
        <v>65.625</v>
      </c>
      <c r="F61">
        <v>2876.4333333333334</v>
      </c>
    </row>
    <row r="62" spans="1:6">
      <c r="A62">
        <v>12</v>
      </c>
      <c r="B62">
        <v>2561.6931164308539</v>
      </c>
      <c r="C62">
        <v>314.74021690247946</v>
      </c>
      <c r="E62">
        <v>71.875</v>
      </c>
      <c r="F62">
        <v>3146.1488888888885</v>
      </c>
    </row>
    <row r="63" spans="1:6">
      <c r="A63">
        <v>13</v>
      </c>
      <c r="B63">
        <v>2367.0617951324821</v>
      </c>
      <c r="C63">
        <v>-558.74179513248191</v>
      </c>
      <c r="E63">
        <v>78.125</v>
      </c>
      <c r="F63">
        <v>3321.0733333333333</v>
      </c>
    </row>
    <row r="64" spans="1:6">
      <c r="A64">
        <v>14</v>
      </c>
      <c r="B64">
        <v>2334.0734365999365</v>
      </c>
      <c r="C64">
        <v>-219.09343659993647</v>
      </c>
      <c r="E64">
        <v>84.375</v>
      </c>
      <c r="F64">
        <v>4040.7400000000002</v>
      </c>
    </row>
    <row r="65" spans="1:6">
      <c r="A65">
        <v>15</v>
      </c>
      <c r="B65">
        <v>3133.5084119193921</v>
      </c>
      <c r="C65">
        <v>1859.8315880806072</v>
      </c>
      <c r="E65">
        <v>90.625</v>
      </c>
      <c r="F65">
        <v>4993.3399999999992</v>
      </c>
    </row>
    <row r="66" spans="1:6" ht="17" thickBot="1">
      <c r="A66" s="10">
        <v>16</v>
      </c>
      <c r="B66" s="10">
        <v>5390.3249501212613</v>
      </c>
      <c r="C66" s="10">
        <v>-64.544950121260626</v>
      </c>
      <c r="E66" s="10">
        <v>96.875</v>
      </c>
      <c r="F66" s="10">
        <v>5325.7800000000007</v>
      </c>
    </row>
  </sheetData>
  <sortState xmlns:xlrd2="http://schemas.microsoft.com/office/spreadsheetml/2017/richdata2" ref="F51:F66">
    <sortCondition ref="F51"/>
  </sortState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28C7-3207-6E40-B69D-867F73E1320F}">
  <dimension ref="A2:U115"/>
  <sheetViews>
    <sheetView tabSelected="1" workbookViewId="0">
      <selection activeCell="G23" sqref="G23"/>
    </sheetView>
  </sheetViews>
  <sheetFormatPr baseColWidth="10" defaultRowHeight="16"/>
  <sheetData>
    <row r="2" spans="1:14">
      <c r="A2" s="64"/>
      <c r="B2" s="1" t="s">
        <v>76</v>
      </c>
      <c r="C2" s="2" t="s">
        <v>71</v>
      </c>
      <c r="E2" t="s">
        <v>77</v>
      </c>
      <c r="F2" t="s">
        <v>164</v>
      </c>
    </row>
    <row r="3" spans="1:14">
      <c r="A3" s="8" t="s">
        <v>1</v>
      </c>
      <c r="B3" s="16">
        <v>1907.4000000000003</v>
      </c>
      <c r="C3" s="16">
        <v>5166.6000000000004</v>
      </c>
      <c r="E3">
        <f>$B$36+C3*$B$37</f>
        <v>2354.446577853435</v>
      </c>
      <c r="F3">
        <f>ABS((B3-E3)/B3)</f>
        <v>0.23437484421381702</v>
      </c>
      <c r="M3" s="1" t="s">
        <v>76</v>
      </c>
      <c r="N3" s="2" t="s">
        <v>74</v>
      </c>
    </row>
    <row r="4" spans="1:14">
      <c r="A4" s="8" t="s">
        <v>2</v>
      </c>
      <c r="B4" s="16">
        <v>2582.5333333333333</v>
      </c>
      <c r="C4" s="16">
        <v>6248.8</v>
      </c>
      <c r="E4">
        <f t="shared" ref="E4:E18" si="0">$B$36+C4*$B$37</f>
        <v>2445.3720226826899</v>
      </c>
      <c r="F4">
        <f t="shared" ref="F4:F18" si="1">ABS((B4-E4)/B4)</f>
        <v>5.3111148220343088E-2</v>
      </c>
      <c r="M4" s="16">
        <v>1907.4000000000003</v>
      </c>
      <c r="N4" s="65">
        <v>58.659854289439131</v>
      </c>
    </row>
    <row r="5" spans="1:14">
      <c r="A5" s="8" t="s">
        <v>3</v>
      </c>
      <c r="B5" s="16">
        <v>1191.0999999999999</v>
      </c>
      <c r="C5" s="16">
        <v>2590.8666666666668</v>
      </c>
      <c r="E5">
        <f t="shared" si="0"/>
        <v>2138.0358413030067</v>
      </c>
      <c r="F5">
        <f t="shared" si="1"/>
        <v>0.79500952170515227</v>
      </c>
      <c r="M5" s="16">
        <v>2582.5333333333333</v>
      </c>
      <c r="N5" s="65">
        <v>52.012057141546194</v>
      </c>
    </row>
    <row r="6" spans="1:14">
      <c r="A6" s="8" t="s">
        <v>4</v>
      </c>
      <c r="B6" s="16">
        <v>3146.1488888888885</v>
      </c>
      <c r="C6" s="16">
        <v>3812.8</v>
      </c>
      <c r="E6">
        <f t="shared" si="0"/>
        <v>2240.7015517863074</v>
      </c>
      <c r="F6">
        <f t="shared" si="1"/>
        <v>0.28779545059050077</v>
      </c>
      <c r="M6" s="16">
        <v>1191.0999999999999</v>
      </c>
      <c r="N6" s="65">
        <v>51.201257735567715</v>
      </c>
    </row>
    <row r="7" spans="1:14">
      <c r="A7" s="8" t="s">
        <v>5</v>
      </c>
      <c r="B7" s="16">
        <v>3321.0733333333333</v>
      </c>
      <c r="C7" s="16">
        <v>8445.7999999999993</v>
      </c>
      <c r="E7">
        <f t="shared" si="0"/>
        <v>2629.9619342423584</v>
      </c>
      <c r="F7">
        <f t="shared" si="1"/>
        <v>0.20809880713995321</v>
      </c>
      <c r="M7" s="16">
        <v>3146.1488888888885</v>
      </c>
      <c r="N7" s="65">
        <v>52.17390431176684</v>
      </c>
    </row>
    <row r="8" spans="1:14">
      <c r="A8" s="8" t="s">
        <v>6</v>
      </c>
      <c r="B8" s="16">
        <v>1070.3933333333332</v>
      </c>
      <c r="C8" s="16">
        <v>8099.6</v>
      </c>
      <c r="E8">
        <f t="shared" si="0"/>
        <v>2600.8745298809763</v>
      </c>
      <c r="F8">
        <f t="shared" si="1"/>
        <v>1.4298306509267402</v>
      </c>
      <c r="M8" s="16">
        <v>3321.0733333333333</v>
      </c>
      <c r="N8" s="65">
        <v>53.08116827324163</v>
      </c>
    </row>
    <row r="9" spans="1:14">
      <c r="A9" s="8" t="s">
        <v>7</v>
      </c>
      <c r="B9" s="16">
        <v>2855.5600000000004</v>
      </c>
      <c r="C9" s="16">
        <v>13834.266666666666</v>
      </c>
      <c r="E9">
        <f t="shared" si="0"/>
        <v>3082.6959285264838</v>
      </c>
      <c r="F9">
        <f t="shared" si="1"/>
        <v>7.9541641053412784E-2</v>
      </c>
      <c r="M9" s="16">
        <v>1070.3933333333332</v>
      </c>
      <c r="N9" s="65">
        <v>50.991659258009854</v>
      </c>
    </row>
    <row r="10" spans="1:14">
      <c r="A10" s="8" t="s">
        <v>8</v>
      </c>
      <c r="B10" s="16">
        <v>2085.46</v>
      </c>
      <c r="C10" s="16">
        <v>6453.2</v>
      </c>
      <c r="E10">
        <f t="shared" si="0"/>
        <v>2462.5455219648002</v>
      </c>
      <c r="F10">
        <f t="shared" si="1"/>
        <v>0.18081647308737647</v>
      </c>
      <c r="M10" s="16">
        <v>2855.5600000000004</v>
      </c>
      <c r="N10" s="65">
        <v>51.912820218070557</v>
      </c>
    </row>
    <row r="11" spans="1:14">
      <c r="A11" s="8" t="s">
        <v>9</v>
      </c>
      <c r="B11" s="16">
        <v>1813.8199999999997</v>
      </c>
      <c r="C11" s="16">
        <v>4070.2</v>
      </c>
      <c r="E11">
        <f t="shared" si="0"/>
        <v>2262.328062134718</v>
      </c>
      <c r="F11">
        <f t="shared" si="1"/>
        <v>0.24727264124043091</v>
      </c>
      <c r="M11" s="16">
        <v>2085.46</v>
      </c>
      <c r="N11" s="65">
        <v>59.393740500778058</v>
      </c>
    </row>
    <row r="12" spans="1:14">
      <c r="A12" s="8" t="s">
        <v>10</v>
      </c>
      <c r="B12" s="16">
        <v>4040.7400000000002</v>
      </c>
      <c r="C12" s="16">
        <v>1778.5333333333333</v>
      </c>
      <c r="E12">
        <f t="shared" si="0"/>
        <v>2069.7843446453053</v>
      </c>
      <c r="F12">
        <f t="shared" si="1"/>
        <v>0.48777096654441882</v>
      </c>
      <c r="M12" s="16">
        <v>1813.8199999999997</v>
      </c>
      <c r="N12" s="65">
        <v>45.274321314000602</v>
      </c>
    </row>
    <row r="13" spans="1:14">
      <c r="A13" s="8" t="s">
        <v>68</v>
      </c>
      <c r="B13" s="16">
        <v>874.99333333333334</v>
      </c>
      <c r="C13" s="16">
        <v>3039.1333333333332</v>
      </c>
      <c r="E13">
        <f t="shared" si="0"/>
        <v>2175.6987927618816</v>
      </c>
      <c r="F13">
        <f t="shared" si="1"/>
        <v>1.4865318510181582</v>
      </c>
      <c r="M13" s="16">
        <v>4040.7400000000002</v>
      </c>
      <c r="N13" s="65">
        <v>46.867649109714435</v>
      </c>
    </row>
    <row r="14" spans="1:14">
      <c r="A14" s="8" t="s">
        <v>11</v>
      </c>
      <c r="B14" s="16">
        <v>2876.4333333333334</v>
      </c>
      <c r="C14" s="16">
        <v>5027.3999999999996</v>
      </c>
      <c r="E14">
        <f t="shared" si="0"/>
        <v>2342.7511223736415</v>
      </c>
      <c r="F14">
        <f t="shared" si="1"/>
        <v>0.18553609596132661</v>
      </c>
      <c r="M14" s="16">
        <v>874.99333333333334</v>
      </c>
      <c r="N14" s="65">
        <v>38.418339465399278</v>
      </c>
    </row>
    <row r="15" spans="1:14">
      <c r="A15" s="8" t="s">
        <v>12</v>
      </c>
      <c r="B15" s="16">
        <v>1808.3200000000002</v>
      </c>
      <c r="C15" s="16">
        <v>2118.2666666666669</v>
      </c>
      <c r="E15">
        <f t="shared" si="0"/>
        <v>2098.328425643881</v>
      </c>
      <c r="F15">
        <f t="shared" si="1"/>
        <v>0.16037450542154089</v>
      </c>
      <c r="M15" s="16">
        <v>2876.4333333333334</v>
      </c>
      <c r="N15" s="65">
        <v>56.515202316615415</v>
      </c>
    </row>
    <row r="16" spans="1:14">
      <c r="A16" s="8" t="s">
        <v>13</v>
      </c>
      <c r="B16" s="16">
        <v>2114.98</v>
      </c>
      <c r="C16" s="16">
        <v>9941</v>
      </c>
      <c r="E16">
        <f t="shared" si="0"/>
        <v>2755.5872577580694</v>
      </c>
      <c r="F16">
        <f t="shared" si="1"/>
        <v>0.3028904565329551</v>
      </c>
      <c r="M16" s="16">
        <v>1808.3200000000002</v>
      </c>
      <c r="N16" s="65">
        <v>58.157644943256038</v>
      </c>
    </row>
    <row r="17" spans="1:18">
      <c r="A17" s="8" t="s">
        <v>14</v>
      </c>
      <c r="B17" s="16">
        <v>4993.3399999999992</v>
      </c>
      <c r="C17" s="16">
        <v>11644.466666666667</v>
      </c>
      <c r="E17">
        <f t="shared" si="0"/>
        <v>2898.7109543192182</v>
      </c>
      <c r="F17">
        <f t="shared" si="1"/>
        <v>0.41948456257350419</v>
      </c>
      <c r="M17" s="16">
        <v>2114.98</v>
      </c>
      <c r="N17" s="65">
        <v>52.781679661544075</v>
      </c>
    </row>
    <row r="18" spans="1:18">
      <c r="A18" s="8" t="s">
        <v>15</v>
      </c>
      <c r="B18" s="16">
        <v>5325.7800000000007</v>
      </c>
      <c r="C18" s="16">
        <v>42013.066666666666</v>
      </c>
      <c r="E18">
        <f t="shared" si="0"/>
        <v>5450.2526876787779</v>
      </c>
      <c r="F18">
        <f t="shared" si="1"/>
        <v>2.3371729151181086E-2</v>
      </c>
      <c r="M18" s="16">
        <v>4993.3399999999992</v>
      </c>
      <c r="N18" s="65">
        <v>55.443789053287489</v>
      </c>
    </row>
    <row r="19" spans="1:18">
      <c r="F19">
        <f>SUM(F3:F18)</f>
        <v>6.5818113453808129</v>
      </c>
      <c r="M19" s="16">
        <v>5325.7800000000007</v>
      </c>
      <c r="N19" s="65">
        <v>52.879669160540061</v>
      </c>
    </row>
    <row r="20" spans="1:18">
      <c r="A20" t="s">
        <v>19</v>
      </c>
    </row>
    <row r="21" spans="1:18" ht="17" thickBot="1">
      <c r="M21" t="s">
        <v>19</v>
      </c>
    </row>
    <row r="22" spans="1:18" ht="17" thickBot="1">
      <c r="A22" s="12" t="s">
        <v>20</v>
      </c>
      <c r="B22" s="12"/>
    </row>
    <row r="23" spans="1:18">
      <c r="A23" t="s">
        <v>21</v>
      </c>
      <c r="B23">
        <v>0.61739690287668214</v>
      </c>
      <c r="D23" cm="1">
        <f t="array" ref="D23:E27">LINEST(B3:B18,C3:C18,1,1)</f>
        <v>8.4019076722653005E-2</v>
      </c>
      <c r="E23">
        <v>1920.3536160581759</v>
      </c>
      <c r="G23">
        <f>1/B27*F19*100</f>
        <v>41.136320908630083</v>
      </c>
      <c r="M23" s="12" t="s">
        <v>20</v>
      </c>
      <c r="N23" s="12"/>
    </row>
    <row r="24" spans="1:18">
      <c r="A24" t="s">
        <v>22</v>
      </c>
      <c r="B24">
        <v>0.38117893568171929</v>
      </c>
      <c r="D24">
        <v>2.8610930647470653E-2</v>
      </c>
      <c r="E24">
        <v>358.7221847481112</v>
      </c>
      <c r="M24" t="s">
        <v>21</v>
      </c>
      <c r="N24">
        <v>0.21875863900947332</v>
      </c>
    </row>
    <row r="25" spans="1:18">
      <c r="A25" t="s">
        <v>23</v>
      </c>
      <c r="B25">
        <v>0.3369774310875564</v>
      </c>
      <c r="D25">
        <v>0.38117893568171929</v>
      </c>
      <c r="E25">
        <v>1065.9972534755414</v>
      </c>
      <c r="M25" t="s">
        <v>22</v>
      </c>
      <c r="N25">
        <v>4.7855342141277062E-2</v>
      </c>
    </row>
    <row r="26" spans="1:18">
      <c r="A26" t="s">
        <v>24</v>
      </c>
      <c r="B26">
        <v>1065.9972534755414</v>
      </c>
      <c r="D26">
        <v>8.6236642662172276</v>
      </c>
      <c r="E26">
        <v>14</v>
      </c>
      <c r="M26" t="s">
        <v>23</v>
      </c>
      <c r="N26">
        <v>-2.0154990562917436E-2</v>
      </c>
    </row>
    <row r="27" spans="1:18" ht="17" thickBot="1">
      <c r="A27" s="10" t="s">
        <v>25</v>
      </c>
      <c r="B27" s="10">
        <v>16</v>
      </c>
      <c r="D27">
        <v>9799502.1343230978</v>
      </c>
      <c r="E27">
        <v>15908902.021843567</v>
      </c>
      <c r="M27" t="s">
        <v>24</v>
      </c>
      <c r="N27">
        <v>1322.2848104530246</v>
      </c>
    </row>
    <row r="28" spans="1:18" ht="17" thickBot="1">
      <c r="M28" s="10" t="s">
        <v>25</v>
      </c>
      <c r="N28" s="10">
        <v>16</v>
      </c>
    </row>
    <row r="29" spans="1:18" ht="17" thickBot="1">
      <c r="A29" t="s">
        <v>26</v>
      </c>
    </row>
    <row r="30" spans="1:18" ht="17" thickBot="1">
      <c r="A30" s="11"/>
      <c r="B30" s="11" t="s">
        <v>31</v>
      </c>
      <c r="C30" s="11" t="s">
        <v>32</v>
      </c>
      <c r="D30" s="11" t="s">
        <v>33</v>
      </c>
      <c r="E30" s="11" t="s">
        <v>34</v>
      </c>
      <c r="F30" s="11" t="s">
        <v>35</v>
      </c>
      <c r="M30" t="s">
        <v>26</v>
      </c>
    </row>
    <row r="31" spans="1:18">
      <c r="A31" t="s">
        <v>27</v>
      </c>
      <c r="B31">
        <v>1</v>
      </c>
      <c r="C31">
        <v>9799502.1343230978</v>
      </c>
      <c r="D31">
        <v>9799502.1343230978</v>
      </c>
      <c r="E31">
        <v>8.6236642662172276</v>
      </c>
      <c r="F31">
        <v>1.0829119114585692E-2</v>
      </c>
      <c r="H31" t="s">
        <v>137</v>
      </c>
      <c r="I31">
        <v>4.5999999999999996</v>
      </c>
      <c r="M31" s="11"/>
      <c r="N31" s="11" t="s">
        <v>31</v>
      </c>
      <c r="O31" s="11" t="s">
        <v>32</v>
      </c>
      <c r="P31" s="11" t="s">
        <v>33</v>
      </c>
      <c r="Q31" s="11" t="s">
        <v>34</v>
      </c>
      <c r="R31" s="11" t="s">
        <v>35</v>
      </c>
    </row>
    <row r="32" spans="1:18">
      <c r="A32" t="s">
        <v>28</v>
      </c>
      <c r="B32">
        <v>14</v>
      </c>
      <c r="C32">
        <v>15908902.021843567</v>
      </c>
      <c r="D32">
        <v>1136350.1444173977</v>
      </c>
      <c r="M32" t="s">
        <v>27</v>
      </c>
      <c r="N32">
        <v>1</v>
      </c>
      <c r="O32">
        <v>1230284.4767995849</v>
      </c>
      <c r="P32">
        <v>1230284.4767995849</v>
      </c>
      <c r="Q32">
        <v>0.70364811108070957</v>
      </c>
      <c r="R32">
        <v>0.41565419962933503</v>
      </c>
    </row>
    <row r="33" spans="1:21" ht="17" thickBot="1">
      <c r="A33" s="10" t="s">
        <v>29</v>
      </c>
      <c r="B33" s="10">
        <v>15</v>
      </c>
      <c r="C33" s="10">
        <v>25708404.156166665</v>
      </c>
      <c r="D33" s="10"/>
      <c r="E33" s="10"/>
      <c r="F33" s="10"/>
      <c r="M33" t="s">
        <v>28</v>
      </c>
      <c r="N33">
        <v>14</v>
      </c>
      <c r="O33">
        <v>24478119.67936708</v>
      </c>
      <c r="P33">
        <v>1748437.1199547914</v>
      </c>
    </row>
    <row r="34" spans="1:21" ht="17" thickBot="1">
      <c r="M34" s="10" t="s">
        <v>29</v>
      </c>
      <c r="N34" s="10">
        <v>15</v>
      </c>
      <c r="O34" s="10">
        <v>25708404.156166665</v>
      </c>
      <c r="P34" s="10"/>
      <c r="Q34" s="10"/>
      <c r="R34" s="10"/>
    </row>
    <row r="35" spans="1:21">
      <c r="A35" s="11"/>
      <c r="B35" s="11" t="s">
        <v>36</v>
      </c>
      <c r="C35" s="11" t="s">
        <v>24</v>
      </c>
      <c r="D35" s="11" t="s">
        <v>37</v>
      </c>
      <c r="E35" s="11" t="s">
        <v>38</v>
      </c>
      <c r="F35" s="11" t="s">
        <v>39</v>
      </c>
      <c r="G35" s="11" t="s">
        <v>40</v>
      </c>
      <c r="H35" s="11" t="s">
        <v>41</v>
      </c>
      <c r="I35" s="11" t="s">
        <v>42</v>
      </c>
    </row>
    <row r="36" spans="1:21">
      <c r="A36" t="s">
        <v>30</v>
      </c>
      <c r="B36">
        <v>1920.3536160581759</v>
      </c>
      <c r="C36">
        <v>358.7221847481112</v>
      </c>
      <c r="D36">
        <v>5.353317128703976</v>
      </c>
      <c r="E36">
        <v>1.0184150889907504E-4</v>
      </c>
      <c r="F36">
        <v>1150.9710495496358</v>
      </c>
      <c r="G36">
        <v>2689.7361825667163</v>
      </c>
      <c r="H36">
        <v>1150.9710495496358</v>
      </c>
      <c r="I36">
        <v>2689.7361825667163</v>
      </c>
      <c r="N36" t="s">
        <v>36</v>
      </c>
      <c r="O36" t="s">
        <v>24</v>
      </c>
      <c r="P36" t="s">
        <v>37</v>
      </c>
      <c r="Q36" t="s">
        <v>38</v>
      </c>
      <c r="R36" t="s">
        <v>39</v>
      </c>
      <c r="S36" t="s">
        <v>40</v>
      </c>
      <c r="T36" t="s">
        <v>41</v>
      </c>
      <c r="U36" t="s">
        <v>42</v>
      </c>
    </row>
    <row r="37" spans="1:21" ht="17" thickBot="1">
      <c r="A37" s="10" t="s">
        <v>43</v>
      </c>
      <c r="B37" s="10">
        <v>8.4019076722653005E-2</v>
      </c>
      <c r="C37" s="10">
        <v>2.8610930647470653E-2</v>
      </c>
      <c r="D37" s="10">
        <v>2.9366076118911812</v>
      </c>
      <c r="E37" s="10">
        <v>1.0829119114585707E-2</v>
      </c>
      <c r="F37" s="10">
        <v>2.2654733541018421E-2</v>
      </c>
      <c r="G37" s="10">
        <v>0.14538341990428758</v>
      </c>
      <c r="H37" s="10">
        <v>2.2654733541018421E-2</v>
      </c>
      <c r="I37" s="10">
        <v>0.14538341990428758</v>
      </c>
      <c r="M37" t="s">
        <v>30</v>
      </c>
      <c r="N37">
        <v>-173.15253742609593</v>
      </c>
      <c r="O37">
        <v>3352.6894422915962</v>
      </c>
      <c r="P37">
        <v>-5.1645862346183929E-2</v>
      </c>
      <c r="Q37">
        <v>0.95954053957188168</v>
      </c>
      <c r="R37">
        <v>-7363.956221975679</v>
      </c>
      <c r="S37">
        <v>7017.6511471234871</v>
      </c>
      <c r="T37">
        <v>-7363.956221975679</v>
      </c>
      <c r="U37">
        <v>7017.6511471234871</v>
      </c>
    </row>
    <row r="38" spans="1:21">
      <c r="C38" t="s">
        <v>140</v>
      </c>
      <c r="D38">
        <f>2.131</f>
        <v>2.1309999999999998</v>
      </c>
      <c r="M38" t="s">
        <v>74</v>
      </c>
      <c r="N38">
        <v>53.57789472764135</v>
      </c>
      <c r="O38">
        <v>63.871612651076262</v>
      </c>
      <c r="P38">
        <v>0.83883735675082471</v>
      </c>
      <c r="Q38">
        <v>0.4156541996293347</v>
      </c>
      <c r="R38">
        <v>-83.413089822229438</v>
      </c>
      <c r="S38">
        <v>190.56887927751214</v>
      </c>
      <c r="T38">
        <v>-83.413089822229438</v>
      </c>
      <c r="U38">
        <v>190.56887927751214</v>
      </c>
    </row>
    <row r="40" spans="1:21">
      <c r="A40" s="1" t="s">
        <v>76</v>
      </c>
      <c r="B40" s="2" t="s">
        <v>72</v>
      </c>
      <c r="M40" s="1" t="s">
        <v>76</v>
      </c>
      <c r="N40" s="2" t="s">
        <v>75</v>
      </c>
    </row>
    <row r="41" spans="1:21">
      <c r="A41" s="16">
        <v>1907.4000000000003</v>
      </c>
      <c r="B41" s="65">
        <v>5.3082092778058581</v>
      </c>
      <c r="M41" s="16">
        <v>1907.4000000000003</v>
      </c>
      <c r="N41" s="63">
        <v>434199.86666666664</v>
      </c>
    </row>
    <row r="42" spans="1:21">
      <c r="A42" s="16">
        <v>2582.5333333333333</v>
      </c>
      <c r="B42" s="65">
        <v>5.0717551491695207</v>
      </c>
      <c r="M42" s="16">
        <v>2582.5333333333333</v>
      </c>
      <c r="N42" s="63">
        <v>425996.93333333335</v>
      </c>
    </row>
    <row r="43" spans="1:21">
      <c r="A43" s="16">
        <v>1191.0999999999999</v>
      </c>
      <c r="B43" s="65">
        <v>5.1005678979394506</v>
      </c>
      <c r="M43" s="16">
        <v>1191.0999999999999</v>
      </c>
      <c r="N43" s="63">
        <v>974092.80000000005</v>
      </c>
    </row>
    <row r="44" spans="1:21">
      <c r="A44" s="16">
        <v>3146.1488888888885</v>
      </c>
      <c r="B44" s="65">
        <v>5.1272700068587911</v>
      </c>
      <c r="M44" s="16">
        <v>3146.1488888888885</v>
      </c>
      <c r="N44" s="63">
        <v>303734.66666666669</v>
      </c>
    </row>
    <row r="45" spans="1:21">
      <c r="A45" s="16">
        <v>3321.0733333333333</v>
      </c>
      <c r="B45" s="65">
        <v>5.2660793678517441</v>
      </c>
      <c r="M45" s="16">
        <v>3321.0733333333333</v>
      </c>
      <c r="N45" s="63">
        <v>335477.33333333331</v>
      </c>
    </row>
    <row r="46" spans="1:21">
      <c r="A46" s="16">
        <v>1070.3933333333332</v>
      </c>
      <c r="B46" s="65">
        <v>5.2744020564440524</v>
      </c>
      <c r="M46" s="16">
        <v>1070.3933333333332</v>
      </c>
      <c r="N46" s="63">
        <v>554854.93333333335</v>
      </c>
    </row>
    <row r="47" spans="1:21">
      <c r="A47" s="16">
        <v>2855.5600000000004</v>
      </c>
      <c r="B47" s="65">
        <v>5.0477448468016402</v>
      </c>
      <c r="M47" s="16">
        <v>2855.5600000000004</v>
      </c>
      <c r="N47" s="63">
        <v>701409.1333333333</v>
      </c>
    </row>
    <row r="48" spans="1:21">
      <c r="A48" s="16">
        <v>2085.46</v>
      </c>
      <c r="B48" s="65">
        <v>5.237792577925779</v>
      </c>
      <c r="M48" s="16">
        <v>2085.46</v>
      </c>
      <c r="N48" s="63">
        <v>520758.73333333334</v>
      </c>
    </row>
    <row r="49" spans="1:14">
      <c r="A49" s="16">
        <v>1813.8199999999997</v>
      </c>
      <c r="B49" s="65">
        <v>5.3026385452002867</v>
      </c>
      <c r="M49" s="16">
        <v>1813.8199999999997</v>
      </c>
      <c r="N49" s="63">
        <v>336808.93333333335</v>
      </c>
    </row>
    <row r="50" spans="1:14">
      <c r="A50" s="16">
        <v>4040.7400000000002</v>
      </c>
      <c r="B50" s="65">
        <v>5.4568636100056009</v>
      </c>
      <c r="M50" s="16">
        <v>4040.7400000000002</v>
      </c>
      <c r="N50" s="63">
        <v>281357.40000000002</v>
      </c>
    </row>
    <row r="51" spans="1:14">
      <c r="A51" s="16">
        <v>874.99333333333334</v>
      </c>
      <c r="B51" s="65">
        <v>5.4477931369665571</v>
      </c>
      <c r="M51" s="16">
        <v>874.99333333333334</v>
      </c>
      <c r="N51" s="63">
        <v>900458</v>
      </c>
    </row>
    <row r="52" spans="1:14">
      <c r="A52" s="16">
        <v>2876.4333333333334</v>
      </c>
      <c r="B52" s="65">
        <v>5.1106238370324375</v>
      </c>
      <c r="M52" s="16">
        <v>2876.4333333333334</v>
      </c>
      <c r="N52" s="63">
        <v>424483.8</v>
      </c>
    </row>
    <row r="53" spans="1:14">
      <c r="A53" s="16">
        <v>1808.3200000000002</v>
      </c>
      <c r="B53" s="65">
        <v>5.2412656270578806</v>
      </c>
      <c r="M53" s="16">
        <v>1808.3200000000002</v>
      </c>
      <c r="N53" s="63">
        <v>334883.8</v>
      </c>
    </row>
    <row r="54" spans="1:14">
      <c r="A54" s="16">
        <v>2114.98</v>
      </c>
      <c r="B54" s="65">
        <v>5.16164313964883</v>
      </c>
      <c r="M54" s="16">
        <v>2114.98</v>
      </c>
      <c r="N54" s="63">
        <v>711156.2</v>
      </c>
    </row>
    <row r="55" spans="1:14">
      <c r="A55" s="16">
        <v>4993.3399999999992</v>
      </c>
      <c r="B55" s="65">
        <v>5.2080265596771538</v>
      </c>
      <c r="M55" s="16">
        <v>4993.3399999999992</v>
      </c>
      <c r="N55" s="63">
        <v>485758.86666666664</v>
      </c>
    </row>
    <row r="56" spans="1:14">
      <c r="A56" s="16">
        <v>5325.7800000000007</v>
      </c>
      <c r="B56" s="65">
        <v>5.6835855510577415</v>
      </c>
      <c r="M56" s="16">
        <v>5325.7800000000007</v>
      </c>
      <c r="N56" s="63">
        <v>868974.33333333337</v>
      </c>
    </row>
    <row r="58" spans="1:14">
      <c r="A58" t="s">
        <v>19</v>
      </c>
      <c r="M58" t="s">
        <v>19</v>
      </c>
    </row>
    <row r="59" spans="1:14" ht="17" thickBot="1"/>
    <row r="60" spans="1:14">
      <c r="A60" s="12" t="s">
        <v>20</v>
      </c>
      <c r="B60" s="12"/>
      <c r="M60" s="12" t="s">
        <v>20</v>
      </c>
      <c r="N60" s="12"/>
    </row>
    <row r="61" spans="1:14">
      <c r="A61" t="s">
        <v>21</v>
      </c>
      <c r="B61">
        <v>0.31862345250143009</v>
      </c>
      <c r="M61" t="s">
        <v>21</v>
      </c>
      <c r="N61">
        <v>0.18052397408511103</v>
      </c>
    </row>
    <row r="62" spans="1:14">
      <c r="A62" t="s">
        <v>22</v>
      </c>
      <c r="B62">
        <v>0.10152090448393108</v>
      </c>
      <c r="M62" t="s">
        <v>22</v>
      </c>
      <c r="N62">
        <v>3.2588905219481844E-2</v>
      </c>
    </row>
    <row r="63" spans="1:14">
      <c r="A63" t="s">
        <v>23</v>
      </c>
      <c r="B63">
        <v>3.7343826232783303E-2</v>
      </c>
      <c r="M63" t="s">
        <v>23</v>
      </c>
      <c r="N63">
        <v>-3.6511887264840885E-2</v>
      </c>
    </row>
    <row r="64" spans="1:14">
      <c r="A64" t="s">
        <v>24</v>
      </c>
      <c r="B64">
        <v>1284.4805429598539</v>
      </c>
      <c r="M64" t="s">
        <v>24</v>
      </c>
      <c r="N64">
        <v>1332.8432393565165</v>
      </c>
    </row>
    <row r="65" spans="1:21" ht="17" thickBot="1">
      <c r="A65" s="10" t="s">
        <v>25</v>
      </c>
      <c r="B65" s="10">
        <v>16</v>
      </c>
      <c r="M65" s="10" t="s">
        <v>25</v>
      </c>
      <c r="N65" s="10">
        <v>16</v>
      </c>
    </row>
    <row r="67" spans="1:21" ht="17" thickBot="1">
      <c r="A67" t="s">
        <v>26</v>
      </c>
      <c r="M67" t="s">
        <v>26</v>
      </c>
    </row>
    <row r="68" spans="1:21">
      <c r="A68" s="11"/>
      <c r="B68" s="11" t="s">
        <v>31</v>
      </c>
      <c r="C68" s="11" t="s">
        <v>32</v>
      </c>
      <c r="D68" s="11" t="s">
        <v>33</v>
      </c>
      <c r="E68" s="11" t="s">
        <v>34</v>
      </c>
      <c r="F68" s="11" t="s">
        <v>35</v>
      </c>
      <c r="M68" s="11"/>
      <c r="N68" s="11" t="s">
        <v>31</v>
      </c>
      <c r="O68" s="11" t="s">
        <v>32</v>
      </c>
      <c r="P68" s="11" t="s">
        <v>33</v>
      </c>
      <c r="Q68" s="11" t="s">
        <v>34</v>
      </c>
      <c r="R68" s="11" t="s">
        <v>35</v>
      </c>
    </row>
    <row r="69" spans="1:21">
      <c r="A69" t="s">
        <v>27</v>
      </c>
      <c r="B69">
        <v>1</v>
      </c>
      <c r="C69">
        <v>2609940.4427724928</v>
      </c>
      <c r="D69">
        <v>2609940.4427724928</v>
      </c>
      <c r="E69">
        <v>1.5818872913884237</v>
      </c>
      <c r="F69">
        <v>0.22906397572404127</v>
      </c>
      <c r="M69" t="s">
        <v>27</v>
      </c>
      <c r="N69">
        <v>1</v>
      </c>
      <c r="O69">
        <v>837808.74638944864</v>
      </c>
      <c r="P69">
        <v>837808.74638944864</v>
      </c>
      <c r="Q69">
        <v>0.47161405893970709</v>
      </c>
      <c r="R69">
        <v>0.50346254197383911</v>
      </c>
    </row>
    <row r="70" spans="1:21">
      <c r="A70" t="s">
        <v>28</v>
      </c>
      <c r="B70">
        <v>14</v>
      </c>
      <c r="C70">
        <v>23098463.713394172</v>
      </c>
      <c r="D70">
        <v>1649890.2652424409</v>
      </c>
      <c r="M70" t="s">
        <v>28</v>
      </c>
      <c r="N70">
        <v>14</v>
      </c>
      <c r="O70">
        <v>24870595.409777217</v>
      </c>
      <c r="P70">
        <v>1776471.1006983726</v>
      </c>
    </row>
    <row r="71" spans="1:21" ht="17" thickBot="1">
      <c r="A71" s="10" t="s">
        <v>29</v>
      </c>
      <c r="B71" s="10">
        <v>15</v>
      </c>
      <c r="C71" s="10">
        <v>25708404.156166665</v>
      </c>
      <c r="D71" s="10"/>
      <c r="E71" s="10"/>
      <c r="F71" s="10"/>
      <c r="M71" s="10" t="s">
        <v>29</v>
      </c>
      <c r="N71" s="10">
        <v>15</v>
      </c>
      <c r="O71" s="10">
        <v>25708404.156166665</v>
      </c>
      <c r="P71" s="10"/>
      <c r="Q71" s="10"/>
      <c r="R71" s="10"/>
    </row>
    <row r="72" spans="1:21" ht="17" thickBot="1"/>
    <row r="73" spans="1:21">
      <c r="A73" s="11"/>
      <c r="B73" s="11" t="s">
        <v>36</v>
      </c>
      <c r="C73" s="11" t="s">
        <v>24</v>
      </c>
      <c r="D73" s="11" t="s">
        <v>37</v>
      </c>
      <c r="E73" s="11" t="s">
        <v>38</v>
      </c>
      <c r="F73" s="11" t="s">
        <v>39</v>
      </c>
      <c r="G73" s="11" t="s">
        <v>40</v>
      </c>
      <c r="H73" s="11" t="s">
        <v>41</v>
      </c>
      <c r="I73" s="11" t="s">
        <v>42</v>
      </c>
      <c r="M73" s="11"/>
      <c r="N73" s="11" t="s">
        <v>36</v>
      </c>
      <c r="O73" s="11" t="s">
        <v>24</v>
      </c>
      <c r="P73" s="11" t="s">
        <v>37</v>
      </c>
      <c r="Q73" s="11" t="s">
        <v>38</v>
      </c>
      <c r="R73" s="11" t="s">
        <v>39</v>
      </c>
      <c r="S73" s="11" t="s">
        <v>40</v>
      </c>
      <c r="T73" s="11" t="s">
        <v>41</v>
      </c>
      <c r="U73" s="11" t="s">
        <v>42</v>
      </c>
    </row>
    <row r="74" spans="1:21">
      <c r="A74" t="s">
        <v>30</v>
      </c>
      <c r="B74">
        <v>-10530.519555979319</v>
      </c>
      <c r="C74">
        <v>10465.053506863216</v>
      </c>
      <c r="D74">
        <v>-1.0062556822163564</v>
      </c>
      <c r="E74">
        <v>0.33136866682662092</v>
      </c>
      <c r="F74">
        <v>-32975.827005847081</v>
      </c>
      <c r="G74">
        <v>11914.787893888442</v>
      </c>
      <c r="H74">
        <v>-32975.827005847081</v>
      </c>
      <c r="I74">
        <v>11914.787893888442</v>
      </c>
      <c r="M74" t="s">
        <v>30</v>
      </c>
      <c r="N74">
        <v>3185.5236045552401</v>
      </c>
      <c r="O74">
        <v>880.92268539092186</v>
      </c>
      <c r="P74">
        <v>3.6161216612802054</v>
      </c>
      <c r="Q74">
        <v>2.8072454802518937E-3</v>
      </c>
      <c r="R74">
        <v>1296.1323558439869</v>
      </c>
      <c r="S74">
        <v>5074.9148532664931</v>
      </c>
      <c r="T74">
        <v>1296.1323558439869</v>
      </c>
      <c r="U74">
        <v>5074.9148532664931</v>
      </c>
    </row>
    <row r="75" spans="1:21" ht="17" thickBot="1">
      <c r="A75" s="10" t="s">
        <v>72</v>
      </c>
      <c r="B75" s="10">
        <v>2504.5300704307024</v>
      </c>
      <c r="C75" s="10">
        <v>1991.3081988132335</v>
      </c>
      <c r="D75" s="10">
        <v>1.2577310091543517</v>
      </c>
      <c r="E75" s="10">
        <v>0.22906397572404077</v>
      </c>
      <c r="F75" s="10">
        <v>-1766.4012459255014</v>
      </c>
      <c r="G75" s="10">
        <v>6775.4613867869066</v>
      </c>
      <c r="H75" s="10">
        <v>-1766.4012459255014</v>
      </c>
      <c r="I75" s="10">
        <v>6775.4613867869066</v>
      </c>
      <c r="M75" s="10" t="s">
        <v>75</v>
      </c>
      <c r="N75" s="10">
        <v>-1.0425737852444914E-3</v>
      </c>
      <c r="O75" s="10">
        <v>1.518145613894081E-3</v>
      </c>
      <c r="P75" s="10">
        <v>-0.68674162458650057</v>
      </c>
      <c r="Q75" s="10">
        <v>0.50346254197383955</v>
      </c>
      <c r="R75" s="10">
        <v>-4.298672288245319E-3</v>
      </c>
      <c r="S75" s="10">
        <v>2.2135247177563363E-3</v>
      </c>
      <c r="T75" s="10">
        <v>-4.298672288245319E-3</v>
      </c>
      <c r="U75" s="10">
        <v>2.2135247177563363E-3</v>
      </c>
    </row>
    <row r="80" spans="1:21">
      <c r="A80" s="1" t="s">
        <v>76</v>
      </c>
      <c r="B80" s="2" t="s">
        <v>73</v>
      </c>
    </row>
    <row r="81" spans="1:2">
      <c r="A81" s="16">
        <v>1907.4000000000003</v>
      </c>
      <c r="B81" s="16">
        <v>740357</v>
      </c>
    </row>
    <row r="82" spans="1:2">
      <c r="A82" s="16">
        <v>2582.5333333333333</v>
      </c>
      <c r="B82" s="16">
        <v>821060.4</v>
      </c>
    </row>
    <row r="83" spans="1:2">
      <c r="A83" s="16">
        <v>1191.0999999999999</v>
      </c>
      <c r="B83" s="16">
        <v>1901185.4666666666</v>
      </c>
    </row>
    <row r="84" spans="1:2">
      <c r="A84" s="16">
        <v>3146.1488888888885</v>
      </c>
      <c r="B84" s="16">
        <v>582669.06666666665</v>
      </c>
    </row>
    <row r="85" spans="1:2">
      <c r="A85" s="16">
        <v>3321.0733333333333</v>
      </c>
      <c r="B85" s="16">
        <v>632635.53333333333</v>
      </c>
    </row>
    <row r="86" spans="1:2">
      <c r="A86" s="16">
        <v>1070.3933333333332</v>
      </c>
      <c r="B86" s="16">
        <v>1091768.2</v>
      </c>
    </row>
    <row r="87" spans="1:2">
      <c r="A87" s="16">
        <v>2855.5600000000004</v>
      </c>
      <c r="B87" s="16">
        <v>1351016.7333333334</v>
      </c>
    </row>
    <row r="88" spans="1:2">
      <c r="A88" s="16">
        <v>2085.46</v>
      </c>
      <c r="B88" s="16">
        <v>876532</v>
      </c>
    </row>
    <row r="89" spans="1:2">
      <c r="A89" s="16">
        <v>1813.8199999999997</v>
      </c>
      <c r="B89" s="16">
        <v>745924.73333333328</v>
      </c>
    </row>
    <row r="90" spans="1:2">
      <c r="A90" s="16">
        <v>4040.7400000000002</v>
      </c>
      <c r="B90" s="16">
        <v>599845.53333333333</v>
      </c>
    </row>
    <row r="91" spans="1:2">
      <c r="A91" s="16">
        <v>874.99333333333334</v>
      </c>
      <c r="B91" s="16">
        <v>2374142.7333333334</v>
      </c>
    </row>
    <row r="92" spans="1:2">
      <c r="A92" s="16">
        <v>2876.4333333333334</v>
      </c>
      <c r="B92" s="16">
        <v>751228.73333333328</v>
      </c>
    </row>
    <row r="93" spans="1:2">
      <c r="A93" s="16">
        <v>1808.3200000000002</v>
      </c>
      <c r="B93" s="16">
        <v>574834</v>
      </c>
    </row>
    <row r="94" spans="1:2">
      <c r="A94" s="16">
        <v>2114.98</v>
      </c>
      <c r="B94" s="16">
        <v>1346907.1333333333</v>
      </c>
    </row>
    <row r="95" spans="1:2">
      <c r="A95" s="16">
        <v>4993.3399999999992</v>
      </c>
      <c r="B95" s="16">
        <v>887533.46666666667</v>
      </c>
    </row>
    <row r="96" spans="1:2">
      <c r="A96" s="16">
        <v>5325.7800000000007</v>
      </c>
      <c r="B96" s="16">
        <v>1644614.9333333333</v>
      </c>
    </row>
    <row r="98" spans="1:6">
      <c r="A98" t="s">
        <v>19</v>
      </c>
    </row>
    <row r="99" spans="1:6" ht="17" thickBot="1"/>
    <row r="100" spans="1:6">
      <c r="A100" s="12" t="s">
        <v>20</v>
      </c>
      <c r="B100" s="12"/>
    </row>
    <row r="101" spans="1:6">
      <c r="A101" t="s">
        <v>21</v>
      </c>
      <c r="B101">
        <v>0.26405772772371267</v>
      </c>
    </row>
    <row r="102" spans="1:6">
      <c r="A102" t="s">
        <v>22</v>
      </c>
      <c r="B102">
        <v>6.9726483570610384E-2</v>
      </c>
    </row>
    <row r="103" spans="1:6">
      <c r="A103" t="s">
        <v>23</v>
      </c>
      <c r="B103">
        <v>3.2783752542254116E-3</v>
      </c>
    </row>
    <row r="104" spans="1:6">
      <c r="A104" t="s">
        <v>24</v>
      </c>
      <c r="B104">
        <v>1307.0098790791003</v>
      </c>
    </row>
    <row r="105" spans="1:6" ht="17" thickBot="1">
      <c r="A105" s="10" t="s">
        <v>25</v>
      </c>
      <c r="B105" s="10">
        <v>16</v>
      </c>
    </row>
    <row r="107" spans="1:6" ht="17" thickBot="1">
      <c r="A107" t="s">
        <v>26</v>
      </c>
    </row>
    <row r="108" spans="1:6">
      <c r="A108" s="11"/>
      <c r="B108" s="11" t="s">
        <v>31</v>
      </c>
      <c r="C108" s="11" t="s">
        <v>32</v>
      </c>
      <c r="D108" s="11" t="s">
        <v>33</v>
      </c>
      <c r="E108" s="11" t="s">
        <v>34</v>
      </c>
      <c r="F108" s="11" t="s">
        <v>35</v>
      </c>
    </row>
    <row r="109" spans="1:6">
      <c r="A109" t="s">
        <v>27</v>
      </c>
      <c r="B109">
        <v>1</v>
      </c>
      <c r="C109">
        <v>1792556.6200215667</v>
      </c>
      <c r="D109">
        <v>1792556.6200215667</v>
      </c>
      <c r="E109">
        <v>1.0493373752434878</v>
      </c>
      <c r="F109">
        <v>0.32303499946365466</v>
      </c>
    </row>
    <row r="110" spans="1:6">
      <c r="A110" t="s">
        <v>28</v>
      </c>
      <c r="B110">
        <v>14</v>
      </c>
      <c r="C110">
        <v>23915847.536145099</v>
      </c>
      <c r="D110">
        <v>1708274.8240103642</v>
      </c>
    </row>
    <row r="111" spans="1:6" ht="17" thickBot="1">
      <c r="A111" s="10" t="s">
        <v>29</v>
      </c>
      <c r="B111" s="10">
        <v>15</v>
      </c>
      <c r="C111" s="10">
        <v>25708404.156166665</v>
      </c>
      <c r="D111" s="10"/>
      <c r="E111" s="10"/>
      <c r="F111" s="10"/>
    </row>
    <row r="112" spans="1:6" ht="17" thickBot="1"/>
    <row r="113" spans="1:9">
      <c r="A113" s="11"/>
      <c r="B113" s="11" t="s">
        <v>36</v>
      </c>
      <c r="C113" s="11" t="s">
        <v>24</v>
      </c>
      <c r="D113" s="11" t="s">
        <v>37</v>
      </c>
      <c r="E113" s="11" t="s">
        <v>38</v>
      </c>
      <c r="F113" s="11" t="s">
        <v>39</v>
      </c>
      <c r="G113" s="11" t="s">
        <v>40</v>
      </c>
      <c r="H113" s="11" t="s">
        <v>41</v>
      </c>
      <c r="I113" s="11" t="s">
        <v>42</v>
      </c>
    </row>
    <row r="114" spans="1:9">
      <c r="A114" t="s">
        <v>30</v>
      </c>
      <c r="B114">
        <v>3314.9409548188205</v>
      </c>
      <c r="C114">
        <v>748.15837754434085</v>
      </c>
      <c r="D114">
        <v>4.4308010901373018</v>
      </c>
      <c r="E114">
        <v>5.7003151488681659E-4</v>
      </c>
      <c r="F114">
        <v>1710.3008262075355</v>
      </c>
      <c r="G114">
        <v>4919.5810834301055</v>
      </c>
      <c r="H114">
        <v>1710.3008262075355</v>
      </c>
      <c r="I114">
        <v>4919.5810834301055</v>
      </c>
    </row>
    <row r="115" spans="1:9" ht="17" thickBot="1">
      <c r="A115" s="10" t="s">
        <v>73</v>
      </c>
      <c r="B115" s="10">
        <v>-6.5186225399456173E-4</v>
      </c>
      <c r="C115" s="10">
        <v>6.3635324501613616E-4</v>
      </c>
      <c r="D115" s="10">
        <v>-1.0243716977950388</v>
      </c>
      <c r="E115" s="10">
        <v>0.32303499946365422</v>
      </c>
      <c r="F115" s="10">
        <v>-2.0167042227184676E-3</v>
      </c>
      <c r="G115" s="10">
        <v>7.1297971472934405E-4</v>
      </c>
      <c r="H115" s="10">
        <v>-2.0167042227184676E-3</v>
      </c>
      <c r="I115" s="10">
        <v>7.1297971472934405E-4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7841-1A59-424B-B23D-C218AF3BD0A7}">
  <dimension ref="A3:Q30"/>
  <sheetViews>
    <sheetView workbookViewId="0">
      <selection activeCell="A4" sqref="A4:A19"/>
    </sheetView>
  </sheetViews>
  <sheetFormatPr baseColWidth="10" defaultRowHeight="16"/>
  <cols>
    <col min="17" max="17" width="12.33203125" bestFit="1" customWidth="1"/>
  </cols>
  <sheetData>
    <row r="3" spans="1:17">
      <c r="A3" s="64"/>
      <c r="B3" s="1" t="s">
        <v>76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I3" s="2" t="s">
        <v>78</v>
      </c>
      <c r="J3" s="2" t="s">
        <v>79</v>
      </c>
      <c r="K3" s="2" t="s">
        <v>80</v>
      </c>
      <c r="L3" s="2" t="s">
        <v>81</v>
      </c>
      <c r="M3" s="2" t="s">
        <v>82</v>
      </c>
      <c r="N3" s="2" t="s">
        <v>83</v>
      </c>
      <c r="P3" s="2" t="s">
        <v>77</v>
      </c>
      <c r="Q3" s="2" t="s">
        <v>87</v>
      </c>
    </row>
    <row r="4" spans="1:17">
      <c r="A4" s="8" t="s">
        <v>1</v>
      </c>
      <c r="B4" s="16">
        <v>1907.4000000000003</v>
      </c>
      <c r="C4" s="16">
        <v>5166.6000000000004</v>
      </c>
      <c r="D4" s="65">
        <v>5.3082092778058581</v>
      </c>
      <c r="E4" s="16">
        <v>740357</v>
      </c>
      <c r="F4" s="65">
        <v>58.659854289439131</v>
      </c>
      <c r="G4" s="63">
        <v>434199.86666666664</v>
      </c>
      <c r="I4">
        <f t="shared" ref="I4:N4" si="0">LOG10(B4)</f>
        <v>3.2804417782984165</v>
      </c>
      <c r="J4">
        <f t="shared" si="0"/>
        <v>3.7132048396147086</v>
      </c>
      <c r="K4">
        <f t="shared" si="0"/>
        <v>0.72494803672529118</v>
      </c>
      <c r="L4">
        <f t="shared" si="0"/>
        <v>5.8694411869514438</v>
      </c>
      <c r="M4">
        <f t="shared" si="0"/>
        <v>1.7683409798622092</v>
      </c>
      <c r="N4">
        <f t="shared" si="0"/>
        <v>5.6376896857560341</v>
      </c>
      <c r="P4" s="60">
        <f>$E$28+C4^$E$22+D4^$D$22+E4^$C$22+F4^$B$22+G4^$A$22</f>
        <v>1400.7635174674062</v>
      </c>
      <c r="Q4" s="67">
        <f>(B4-P4)^2</f>
        <v>256680.52543299951</v>
      </c>
    </row>
    <row r="5" spans="1:17">
      <c r="A5" s="8" t="s">
        <v>2</v>
      </c>
      <c r="B5" s="16">
        <v>2582.5333333333333</v>
      </c>
      <c r="C5" s="16">
        <v>6248.8</v>
      </c>
      <c r="D5" s="65">
        <v>5.0717551491695207</v>
      </c>
      <c r="E5" s="16">
        <v>821060.4</v>
      </c>
      <c r="F5" s="65">
        <v>52.012057141546194</v>
      </c>
      <c r="G5" s="63">
        <v>425996.93333333335</v>
      </c>
      <c r="I5">
        <f t="shared" ref="I5:I19" si="1">LOG10(B5)</f>
        <v>3.4120459357635089</v>
      </c>
      <c r="J5">
        <f t="shared" ref="J5:J19" si="2">LOG10(C5)</f>
        <v>3.7957966247976089</v>
      </c>
      <c r="K5">
        <f t="shared" ref="K5:K19" si="3">LOG10(D5)</f>
        <v>0.70515827879887982</v>
      </c>
      <c r="L5">
        <f t="shared" ref="L5:L19" si="4">LOG10(E5)</f>
        <v>5.9143751064761378</v>
      </c>
      <c r="M5">
        <f t="shared" ref="M5:M19" si="5">LOG10(F5)</f>
        <v>1.7161040310014064</v>
      </c>
      <c r="N5">
        <f t="shared" ref="N5:N19" si="6">LOG10(G5)</f>
        <v>5.6294064727149138</v>
      </c>
      <c r="P5" s="60">
        <f t="shared" ref="P5:P18" si="7">$E$28+C5^$E$22+D5^$D$22+E5^$C$22+F5^$B$22+G5^$A$22</f>
        <v>1400.6372047903262</v>
      </c>
      <c r="Q5" s="67">
        <f t="shared" ref="Q5:Q19" si="8">(B5-P5)^2</f>
        <v>1396878.4586649484</v>
      </c>
    </row>
    <row r="6" spans="1:17">
      <c r="A6" s="8" t="s">
        <v>3</v>
      </c>
      <c r="B6" s="16">
        <v>1191.0999999999999</v>
      </c>
      <c r="C6" s="16">
        <v>2590.8666666666668</v>
      </c>
      <c r="D6" s="65">
        <v>5.1005678979394506</v>
      </c>
      <c r="E6" s="16">
        <v>1901185.4666666666</v>
      </c>
      <c r="F6" s="65">
        <v>51.201257735567715</v>
      </c>
      <c r="G6" s="63">
        <v>974092.80000000005</v>
      </c>
      <c r="I6">
        <f t="shared" si="1"/>
        <v>3.0759482246440348</v>
      </c>
      <c r="J6">
        <f t="shared" si="2"/>
        <v>3.4134450635373894</v>
      </c>
      <c r="K6">
        <f t="shared" si="3"/>
        <v>0.70761853319807233</v>
      </c>
      <c r="L6">
        <f t="shared" si="4"/>
        <v>6.2790244857349684</v>
      </c>
      <c r="M6">
        <f t="shared" si="5"/>
        <v>1.7092806293529359</v>
      </c>
      <c r="N6">
        <f t="shared" si="6"/>
        <v>5.9886003332729549</v>
      </c>
      <c r="P6" s="60">
        <f t="shared" si="7"/>
        <v>1408.9444557391146</v>
      </c>
      <c r="Q6" s="67">
        <f t="shared" si="8"/>
        <v>47456.206896271091</v>
      </c>
    </row>
    <row r="7" spans="1:17">
      <c r="A7" s="8" t="s">
        <v>4</v>
      </c>
      <c r="B7" s="16">
        <v>3146.1488888888885</v>
      </c>
      <c r="C7" s="16">
        <v>3812.8</v>
      </c>
      <c r="D7" s="65">
        <v>5.1272700068587911</v>
      </c>
      <c r="E7" s="16">
        <v>582669.06666666665</v>
      </c>
      <c r="F7" s="65">
        <v>52.17390431176684</v>
      </c>
      <c r="G7" s="63">
        <v>303734.66666666669</v>
      </c>
      <c r="I7">
        <f t="shared" si="1"/>
        <v>3.4977792714000486</v>
      </c>
      <c r="J7">
        <f t="shared" si="2"/>
        <v>3.5812440250023809</v>
      </c>
      <c r="K7">
        <f t="shared" si="3"/>
        <v>0.70988618839831197</v>
      </c>
      <c r="L7">
        <f t="shared" si="4"/>
        <v>5.7654219624310272</v>
      </c>
      <c r="M7">
        <f t="shared" si="5"/>
        <v>1.7174533373474559</v>
      </c>
      <c r="N7">
        <f t="shared" si="6"/>
        <v>5.4824943628199003</v>
      </c>
      <c r="P7" s="60">
        <f t="shared" si="7"/>
        <v>1385.8494362261781</v>
      </c>
      <c r="Q7" s="67">
        <f t="shared" si="8"/>
        <v>3098654.1630446375</v>
      </c>
    </row>
    <row r="8" spans="1:17">
      <c r="A8" s="8" t="s">
        <v>5</v>
      </c>
      <c r="B8" s="16">
        <v>3321.0733333333333</v>
      </c>
      <c r="C8" s="16">
        <v>8445.7999999999993</v>
      </c>
      <c r="D8" s="65">
        <v>5.2660793678517441</v>
      </c>
      <c r="E8" s="16">
        <v>632635.53333333333</v>
      </c>
      <c r="F8" s="65">
        <v>53.08116827324163</v>
      </c>
      <c r="G8" s="63">
        <v>335477.33333333331</v>
      </c>
      <c r="I8">
        <f t="shared" si="1"/>
        <v>3.5212784654539648</v>
      </c>
      <c r="J8">
        <f t="shared" si="2"/>
        <v>3.9266407929396112</v>
      </c>
      <c r="K8">
        <f t="shared" si="3"/>
        <v>0.72148740029992042</v>
      </c>
      <c r="L8">
        <f t="shared" si="4"/>
        <v>5.8011535813470108</v>
      </c>
      <c r="M8">
        <f t="shared" si="5"/>
        <v>1.7249404727650939</v>
      </c>
      <c r="N8">
        <f t="shared" si="6"/>
        <v>5.5256631822075262</v>
      </c>
      <c r="P8" s="60">
        <f t="shared" si="7"/>
        <v>1403.3083118544625</v>
      </c>
      <c r="Q8" s="67">
        <f t="shared" si="8"/>
        <v>3677822.6776078534</v>
      </c>
    </row>
    <row r="9" spans="1:17">
      <c r="A9" s="8" t="s">
        <v>6</v>
      </c>
      <c r="B9" s="16">
        <v>1070.3933333333332</v>
      </c>
      <c r="C9" s="16">
        <v>8099.6</v>
      </c>
      <c r="D9" s="65">
        <v>5.2744020564440524</v>
      </c>
      <c r="E9" s="16">
        <v>1091768.2</v>
      </c>
      <c r="F9" s="65">
        <v>50.991659258009854</v>
      </c>
      <c r="G9" s="63">
        <v>554854.93333333335</v>
      </c>
      <c r="I9">
        <f t="shared" si="1"/>
        <v>3.0295433955418698</v>
      </c>
      <c r="J9">
        <f t="shared" si="2"/>
        <v>3.9084635717080038</v>
      </c>
      <c r="K9">
        <f t="shared" si="3"/>
        <v>0.72217323206336703</v>
      </c>
      <c r="L9">
        <f t="shared" si="4"/>
        <v>6.0381304404318827</v>
      </c>
      <c r="M9">
        <f t="shared" si="5"/>
        <v>1.7074991440497134</v>
      </c>
      <c r="N9">
        <f t="shared" si="6"/>
        <v>5.7441794517929354</v>
      </c>
      <c r="P9" s="60">
        <f t="shared" si="7"/>
        <v>1413.8805674644307</v>
      </c>
      <c r="Q9" s="67">
        <f t="shared" si="8"/>
        <v>117983.48001103137</v>
      </c>
    </row>
    <row r="10" spans="1:17">
      <c r="A10" s="8" t="s">
        <v>7</v>
      </c>
      <c r="B10" s="16">
        <v>2855.5600000000004</v>
      </c>
      <c r="C10" s="16">
        <v>13834.266666666666</v>
      </c>
      <c r="D10" s="65">
        <v>5.0477448468016402</v>
      </c>
      <c r="E10" s="16">
        <v>1351016.7333333334</v>
      </c>
      <c r="F10" s="65">
        <v>51.912820218070557</v>
      </c>
      <c r="G10" s="63">
        <v>701409.1333333333</v>
      </c>
      <c r="I10">
        <f t="shared" si="1"/>
        <v>3.4556912898361625</v>
      </c>
      <c r="J10">
        <f t="shared" si="2"/>
        <v>4.1409561428003494</v>
      </c>
      <c r="K10">
        <f t="shared" si="3"/>
        <v>0.70309739409132921</v>
      </c>
      <c r="L10">
        <f t="shared" si="4"/>
        <v>6.1306607281110947</v>
      </c>
      <c r="M10">
        <f t="shared" si="5"/>
        <v>1.7152746230201668</v>
      </c>
      <c r="N10">
        <f t="shared" si="6"/>
        <v>5.8459714167072212</v>
      </c>
      <c r="P10" s="60">
        <f t="shared" si="7"/>
        <v>1429.7011835205722</v>
      </c>
      <c r="Q10" s="67">
        <f t="shared" si="8"/>
        <v>2033073.3645321159</v>
      </c>
    </row>
    <row r="11" spans="1:17">
      <c r="A11" s="8" t="s">
        <v>8</v>
      </c>
      <c r="B11" s="16">
        <v>2085.46</v>
      </c>
      <c r="C11" s="16">
        <v>6453.2</v>
      </c>
      <c r="D11" s="65">
        <v>5.237792577925779</v>
      </c>
      <c r="E11" s="16">
        <v>876532</v>
      </c>
      <c r="F11" s="65">
        <v>59.393740500778058</v>
      </c>
      <c r="G11" s="63">
        <v>520758.73333333334</v>
      </c>
      <c r="I11">
        <f t="shared" si="1"/>
        <v>3.3192018643108963</v>
      </c>
      <c r="J11">
        <f t="shared" si="2"/>
        <v>3.809775125133529</v>
      </c>
      <c r="K11">
        <f t="shared" si="3"/>
        <v>0.71914829591320883</v>
      </c>
      <c r="L11">
        <f t="shared" si="4"/>
        <v>5.9427677757290009</v>
      </c>
      <c r="M11">
        <f t="shared" si="5"/>
        <v>1.7737406771492754</v>
      </c>
      <c r="N11">
        <f t="shared" si="6"/>
        <v>5.716636561973929</v>
      </c>
      <c r="P11" s="60">
        <f t="shared" si="7"/>
        <v>1408.0976723191654</v>
      </c>
      <c r="Q11" s="67">
        <f t="shared" si="8"/>
        <v>458819.72296119836</v>
      </c>
    </row>
    <row r="12" spans="1:17">
      <c r="A12" s="8" t="s">
        <v>9</v>
      </c>
      <c r="B12" s="16">
        <v>1813.8199999999997</v>
      </c>
      <c r="C12" s="16">
        <v>4070.2</v>
      </c>
      <c r="D12" s="65">
        <v>5.3026385452002867</v>
      </c>
      <c r="E12" s="16">
        <v>745924.73333333328</v>
      </c>
      <c r="F12" s="65">
        <v>45.274321314000602</v>
      </c>
      <c r="G12" s="63">
        <v>336808.93333333335</v>
      </c>
      <c r="I12">
        <f t="shared" si="1"/>
        <v>3.2585941863153205</v>
      </c>
      <c r="J12">
        <f t="shared" si="2"/>
        <v>3.6096157499530639</v>
      </c>
      <c r="K12">
        <f t="shared" si="3"/>
        <v>0.72449202440782257</v>
      </c>
      <c r="L12">
        <f t="shared" si="4"/>
        <v>5.872695007704416</v>
      </c>
      <c r="M12">
        <f t="shared" si="5"/>
        <v>1.6558519487311276</v>
      </c>
      <c r="N12">
        <f t="shared" si="6"/>
        <v>5.5273836019663287</v>
      </c>
      <c r="P12" s="60">
        <f t="shared" si="7"/>
        <v>1390.292543825653</v>
      </c>
      <c r="Q12" s="67">
        <f t="shared" si="8"/>
        <v>179375.5061335132</v>
      </c>
    </row>
    <row r="13" spans="1:17">
      <c r="A13" s="8" t="s">
        <v>10</v>
      </c>
      <c r="B13" s="16">
        <v>4040.7400000000002</v>
      </c>
      <c r="C13" s="16">
        <v>1778.5333333333333</v>
      </c>
      <c r="D13" s="65">
        <v>5.4568636100056009</v>
      </c>
      <c r="E13" s="16">
        <v>599845.53333333333</v>
      </c>
      <c r="F13" s="65">
        <v>46.867649109714435</v>
      </c>
      <c r="G13" s="63">
        <v>281357.40000000002</v>
      </c>
      <c r="I13">
        <f t="shared" si="1"/>
        <v>3.6064609068153266</v>
      </c>
      <c r="J13">
        <f t="shared" si="2"/>
        <v>3.2500620091602976</v>
      </c>
      <c r="K13">
        <f t="shared" si="3"/>
        <v>0.73694309907136402</v>
      </c>
      <c r="L13">
        <f t="shared" si="4"/>
        <v>5.7780394292875474</v>
      </c>
      <c r="M13">
        <f t="shared" si="5"/>
        <v>1.6708731697718766</v>
      </c>
      <c r="N13">
        <f t="shared" si="6"/>
        <v>5.4492583420487559</v>
      </c>
      <c r="P13" s="60">
        <f t="shared" si="7"/>
        <v>1377.5976941234137</v>
      </c>
      <c r="Q13" s="67">
        <f t="shared" si="8"/>
        <v>7092326.9413496638</v>
      </c>
    </row>
    <row r="14" spans="1:17">
      <c r="A14" s="8" t="s">
        <v>68</v>
      </c>
      <c r="B14" s="16">
        <v>874.99333333333334</v>
      </c>
      <c r="C14" s="16">
        <v>3039.1333333333332</v>
      </c>
      <c r="D14" s="65">
        <v>5.4477931369665571</v>
      </c>
      <c r="E14" s="16">
        <v>2374142.7333333334</v>
      </c>
      <c r="F14" s="65">
        <v>38.418339465399278</v>
      </c>
      <c r="G14" s="63">
        <v>900458</v>
      </c>
      <c r="I14">
        <f t="shared" si="1"/>
        <v>2.9420047440993695</v>
      </c>
      <c r="J14">
        <f t="shared" si="2"/>
        <v>3.4827497539334056</v>
      </c>
      <c r="K14">
        <f t="shared" si="3"/>
        <v>0.73622060823299595</v>
      </c>
      <c r="L14">
        <f t="shared" si="4"/>
        <v>6.3755068251643374</v>
      </c>
      <c r="M14">
        <f t="shared" si="5"/>
        <v>1.5845385896615662</v>
      </c>
      <c r="N14">
        <f t="shared" si="6"/>
        <v>5.9544634608605769</v>
      </c>
      <c r="P14" s="60">
        <f t="shared" si="7"/>
        <v>1414.7300503474521</v>
      </c>
      <c r="Q14" s="67">
        <f t="shared" si="8"/>
        <v>291315.72369317891</v>
      </c>
    </row>
    <row r="15" spans="1:17">
      <c r="A15" s="8" t="s">
        <v>11</v>
      </c>
      <c r="B15" s="16">
        <v>2876.4333333333334</v>
      </c>
      <c r="C15" s="16">
        <v>5027.3999999999996</v>
      </c>
      <c r="D15" s="65">
        <v>5.1106238370324375</v>
      </c>
      <c r="E15" s="16">
        <v>751228.73333333328</v>
      </c>
      <c r="F15" s="65">
        <v>56.515202316615415</v>
      </c>
      <c r="G15" s="63">
        <v>424483.8</v>
      </c>
      <c r="I15">
        <f t="shared" si="1"/>
        <v>3.45885431289968</v>
      </c>
      <c r="J15">
        <f t="shared" si="2"/>
        <v>3.7013434408043109</v>
      </c>
      <c r="K15">
        <f t="shared" si="3"/>
        <v>0.70847391626864953</v>
      </c>
      <c r="L15">
        <f>LOG10(E15)</f>
        <v>5.8757721906657547</v>
      </c>
      <c r="M15">
        <f t="shared" si="5"/>
        <v>1.7521652866539088</v>
      </c>
      <c r="N15">
        <f t="shared" si="6"/>
        <v>5.6278611204813664</v>
      </c>
      <c r="P15" s="60">
        <f t="shared" si="7"/>
        <v>1397.5475412513777</v>
      </c>
      <c r="Q15" s="67">
        <f t="shared" si="8"/>
        <v>2187103.1860218737</v>
      </c>
    </row>
    <row r="16" spans="1:17">
      <c r="A16" s="8" t="s">
        <v>12</v>
      </c>
      <c r="B16" s="16">
        <v>1808.3200000000002</v>
      </c>
      <c r="C16" s="16">
        <v>2118.2666666666669</v>
      </c>
      <c r="D16" s="65">
        <v>5.2412656270578806</v>
      </c>
      <c r="E16" s="16">
        <v>574834</v>
      </c>
      <c r="F16" s="65">
        <v>58.157644943256038</v>
      </c>
      <c r="G16" s="63">
        <v>334883.8</v>
      </c>
      <c r="I16">
        <f t="shared" si="1"/>
        <v>3.2572752856178044</v>
      </c>
      <c r="J16">
        <f t="shared" si="2"/>
        <v>3.3259806321509799</v>
      </c>
      <c r="K16">
        <f t="shared" si="3"/>
        <v>0.71943617028114781</v>
      </c>
      <c r="L16">
        <f t="shared" si="4"/>
        <v>5.7595424476592818</v>
      </c>
      <c r="M16">
        <f t="shared" si="5"/>
        <v>1.7646068117289599</v>
      </c>
      <c r="N16">
        <f t="shared" si="6"/>
        <v>5.5248941390574036</v>
      </c>
      <c r="P16" s="60">
        <f t="shared" si="7"/>
        <v>1382.1176894785713</v>
      </c>
      <c r="Q16" s="67">
        <f t="shared" si="8"/>
        <v>181648.4094938045</v>
      </c>
    </row>
    <row r="17" spans="1:17">
      <c r="A17" s="8" t="s">
        <v>13</v>
      </c>
      <c r="B17" s="16">
        <v>2114.98</v>
      </c>
      <c r="C17" s="16">
        <v>9941</v>
      </c>
      <c r="D17" s="65">
        <v>5.16164313964883</v>
      </c>
      <c r="E17" s="16">
        <v>1346907.1333333333</v>
      </c>
      <c r="F17" s="65">
        <v>52.781679661544075</v>
      </c>
      <c r="G17" s="63">
        <v>711156.2</v>
      </c>
      <c r="I17">
        <f t="shared" si="1"/>
        <v>3.3253062648880323</v>
      </c>
      <c r="J17">
        <f t="shared" si="2"/>
        <v>3.9974300737974713</v>
      </c>
      <c r="K17">
        <f t="shared" si="3"/>
        <v>0.71278797544250538</v>
      </c>
      <c r="L17">
        <f t="shared" si="4"/>
        <v>6.1293376529826418</v>
      </c>
      <c r="M17">
        <f t="shared" si="5"/>
        <v>1.7224832065762075</v>
      </c>
      <c r="N17">
        <f t="shared" si="6"/>
        <v>5.8519650006560839</v>
      </c>
      <c r="P17" s="60">
        <f t="shared" si="7"/>
        <v>1423.3452105098643</v>
      </c>
      <c r="Q17" s="67">
        <f t="shared" si="8"/>
        <v>478358.68203306437</v>
      </c>
    </row>
    <row r="18" spans="1:17">
      <c r="A18" s="8" t="s">
        <v>14</v>
      </c>
      <c r="B18" s="16">
        <v>4993.3399999999992</v>
      </c>
      <c r="C18" s="16">
        <v>11644.466666666667</v>
      </c>
      <c r="D18" s="65">
        <v>5.2080265596771538</v>
      </c>
      <c r="E18" s="16">
        <v>887533.46666666667</v>
      </c>
      <c r="F18" s="65">
        <v>55.443789053287489</v>
      </c>
      <c r="G18" s="63">
        <v>485758.86666666664</v>
      </c>
      <c r="I18">
        <f t="shared" si="1"/>
        <v>3.698391138475817</v>
      </c>
      <c r="J18">
        <f t="shared" si="2"/>
        <v>4.0661196020138552</v>
      </c>
      <c r="K18">
        <f t="shared" si="3"/>
        <v>0.71667319036271171</v>
      </c>
      <c r="L18">
        <f t="shared" si="4"/>
        <v>5.9481847381943203</v>
      </c>
      <c r="M18">
        <f t="shared" si="5"/>
        <v>1.7438529024966758</v>
      </c>
      <c r="N18">
        <f t="shared" si="6"/>
        <v>5.6864207366197599</v>
      </c>
      <c r="P18" s="60">
        <f t="shared" si="7"/>
        <v>1418.4486073131927</v>
      </c>
      <c r="Q18" s="67">
        <f t="shared" si="8"/>
        <v>12779848.469506213</v>
      </c>
    </row>
    <row r="19" spans="1:17">
      <c r="A19" s="8" t="s">
        <v>15</v>
      </c>
      <c r="B19" s="16">
        <v>5325.7800000000007</v>
      </c>
      <c r="C19" s="16">
        <v>42013.066666666666</v>
      </c>
      <c r="D19" s="65">
        <v>5.6835855510577415</v>
      </c>
      <c r="E19" s="16">
        <v>1644614.9333333333</v>
      </c>
      <c r="F19" s="65">
        <v>52.879669160540061</v>
      </c>
      <c r="G19" s="63">
        <v>868974.33333333337</v>
      </c>
      <c r="I19">
        <f t="shared" si="1"/>
        <v>3.7263832224184692</v>
      </c>
      <c r="J19">
        <f t="shared" si="2"/>
        <v>4.6233843832233648</v>
      </c>
      <c r="K19">
        <f t="shared" si="3"/>
        <v>0.75462240151245807</v>
      </c>
      <c r="L19">
        <f t="shared" si="4"/>
        <v>6.2160642293956085</v>
      </c>
      <c r="M19">
        <f t="shared" si="5"/>
        <v>1.7232887293406451</v>
      </c>
      <c r="N19">
        <f t="shared" si="6"/>
        <v>5.9390069489960524</v>
      </c>
      <c r="P19" s="60">
        <f>$E$28+C19^$E$22+D19^$D$22+E19^$C$22+F19^$B$22+G19^$A$22</f>
        <v>1478.4597631669742</v>
      </c>
      <c r="Q19" s="67">
        <f t="shared" si="8"/>
        <v>14801873.004744936</v>
      </c>
    </row>
    <row r="22" spans="1:17">
      <c r="A22" s="60" cm="1">
        <f t="array" ref="A22:F26">LINEST(I4:I19,J4:N19,1,1)</f>
        <v>-1.0769352776503125</v>
      </c>
      <c r="B22" s="60">
        <v>0.86482784603730101</v>
      </c>
      <c r="C22" s="60">
        <v>0.31404333672349349</v>
      </c>
      <c r="D22" s="60">
        <v>1.988853100859054</v>
      </c>
      <c r="E22" s="60">
        <v>0.42846447401036353</v>
      </c>
      <c r="F22" s="60">
        <v>3.0901094794234023</v>
      </c>
    </row>
    <row r="23" spans="1:17">
      <c r="A23" s="60">
        <v>29.300464055518809</v>
      </c>
      <c r="B23" s="60">
        <v>29.987514396628953</v>
      </c>
      <c r="C23" s="60">
        <v>29.291417484896634</v>
      </c>
      <c r="D23" s="60">
        <v>3.93452627481145</v>
      </c>
      <c r="E23" s="60">
        <v>0.17715547139030674</v>
      </c>
      <c r="F23" s="60">
        <v>59.929930834475329</v>
      </c>
    </row>
    <row r="24" spans="1:17">
      <c r="A24" s="60">
        <v>0.56349497731216358</v>
      </c>
      <c r="B24" s="60">
        <v>0.18334085621361523</v>
      </c>
      <c r="C24" s="60" t="e">
        <v>#N/A</v>
      </c>
      <c r="D24" s="60" t="e">
        <v>#N/A</v>
      </c>
      <c r="E24" s="60" t="e">
        <v>#N/A</v>
      </c>
      <c r="F24" s="60" t="e">
        <v>#N/A</v>
      </c>
      <c r="H24" t="s">
        <v>88</v>
      </c>
      <c r="I24" s="60">
        <f>A24*100</f>
        <v>56.34949773121636</v>
      </c>
    </row>
    <row r="25" spans="1:17">
      <c r="A25" s="60">
        <v>2.581848767019312</v>
      </c>
      <c r="B25" s="60">
        <v>10</v>
      </c>
      <c r="C25" s="60" t="e">
        <v>#N/A</v>
      </c>
      <c r="D25" s="60" t="e">
        <v>#N/A</v>
      </c>
      <c r="E25" s="60" t="e">
        <v>#N/A</v>
      </c>
      <c r="F25" s="60" t="e">
        <v>#N/A</v>
      </c>
    </row>
    <row r="26" spans="1:17">
      <c r="A26" s="60">
        <v>0.43392963835426929</v>
      </c>
      <c r="B26" s="60">
        <v>0.33613869557141535</v>
      </c>
      <c r="C26" s="60" t="e">
        <v>#N/A</v>
      </c>
      <c r="D26" s="60" t="e">
        <v>#N/A</v>
      </c>
      <c r="E26" s="60" t="e">
        <v>#N/A</v>
      </c>
      <c r="F26" s="60" t="e">
        <v>#N/A</v>
      </c>
    </row>
    <row r="28" spans="1:17">
      <c r="A28" t="s">
        <v>84</v>
      </c>
      <c r="B28" s="60">
        <f>F22</f>
        <v>3.0901094794234023</v>
      </c>
      <c r="D28" t="s">
        <v>85</v>
      </c>
      <c r="E28" s="60">
        <f>10^F22</f>
        <v>1230.5789430556351</v>
      </c>
    </row>
    <row r="30" spans="1:17">
      <c r="A30" t="s">
        <v>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1EAC-36B7-5440-A05D-2BD3EE688612}">
  <dimension ref="A3:I43"/>
  <sheetViews>
    <sheetView topLeftCell="A25" workbookViewId="0">
      <selection activeCell="F22" sqref="F22"/>
    </sheetView>
  </sheetViews>
  <sheetFormatPr baseColWidth="10" defaultRowHeight="16"/>
  <sheetData>
    <row r="3" spans="1:9">
      <c r="A3" s="64"/>
      <c r="B3" s="1" t="s">
        <v>76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I3" s="2" t="s">
        <v>78</v>
      </c>
    </row>
    <row r="4" spans="1:9">
      <c r="A4" s="8" t="s">
        <v>1</v>
      </c>
      <c r="B4" s="16">
        <v>1907.4000000000003</v>
      </c>
      <c r="C4" s="16">
        <v>5166.6000000000004</v>
      </c>
      <c r="D4" s="65">
        <v>5.3082092778058581</v>
      </c>
      <c r="E4" s="16">
        <v>740357</v>
      </c>
      <c r="F4" s="65">
        <v>58.659854289439131</v>
      </c>
      <c r="G4" s="63">
        <v>434199.86666666664</v>
      </c>
      <c r="I4">
        <f>LOG10(B4)</f>
        <v>3.2804417782984165</v>
      </c>
    </row>
    <row r="5" spans="1:9">
      <c r="A5" s="8" t="s">
        <v>2</v>
      </c>
      <c r="B5" s="16">
        <v>2582.5333333333333</v>
      </c>
      <c r="C5" s="16">
        <v>6248.8</v>
      </c>
      <c r="D5" s="65">
        <v>5.0717551491695207</v>
      </c>
      <c r="E5" s="16">
        <v>821060.4</v>
      </c>
      <c r="F5" s="65">
        <v>52.012057141546194</v>
      </c>
      <c r="G5" s="63">
        <v>425996.93333333335</v>
      </c>
      <c r="I5">
        <f t="shared" ref="I5:I19" si="0">LOG10(B5)</f>
        <v>3.4120459357635089</v>
      </c>
    </row>
    <row r="6" spans="1:9">
      <c r="A6" s="8" t="s">
        <v>3</v>
      </c>
      <c r="B6" s="16">
        <v>1191.0999999999999</v>
      </c>
      <c r="C6" s="16">
        <v>2590.8666666666668</v>
      </c>
      <c r="D6" s="65">
        <v>5.1005678979394506</v>
      </c>
      <c r="E6" s="16">
        <v>1901185.4666666666</v>
      </c>
      <c r="F6" s="65">
        <v>51.201257735567715</v>
      </c>
      <c r="G6" s="63">
        <v>974092.80000000005</v>
      </c>
      <c r="I6">
        <f t="shared" si="0"/>
        <v>3.0759482246440348</v>
      </c>
    </row>
    <row r="7" spans="1:9">
      <c r="A7" s="8" t="s">
        <v>4</v>
      </c>
      <c r="B7" s="16">
        <v>3146.1488888888885</v>
      </c>
      <c r="C7" s="16">
        <v>3812.8</v>
      </c>
      <c r="D7" s="65">
        <v>5.1272700068587911</v>
      </c>
      <c r="E7" s="16">
        <v>582669.06666666665</v>
      </c>
      <c r="F7" s="65">
        <v>52.17390431176684</v>
      </c>
      <c r="G7" s="63">
        <v>303734.66666666669</v>
      </c>
      <c r="I7">
        <f t="shared" si="0"/>
        <v>3.4977792714000486</v>
      </c>
    </row>
    <row r="8" spans="1:9">
      <c r="A8" s="8" t="s">
        <v>5</v>
      </c>
      <c r="B8" s="16">
        <v>3321.0733333333333</v>
      </c>
      <c r="C8" s="16">
        <v>8445.7999999999993</v>
      </c>
      <c r="D8" s="65">
        <v>5.2660793678517441</v>
      </c>
      <c r="E8" s="16">
        <v>632635.53333333333</v>
      </c>
      <c r="F8" s="65">
        <v>53.08116827324163</v>
      </c>
      <c r="G8" s="63">
        <v>335477.33333333331</v>
      </c>
      <c r="I8">
        <f t="shared" si="0"/>
        <v>3.5212784654539648</v>
      </c>
    </row>
    <row r="9" spans="1:9">
      <c r="A9" s="8" t="s">
        <v>6</v>
      </c>
      <c r="B9" s="16">
        <v>1070.3933333333332</v>
      </c>
      <c r="C9" s="16">
        <v>8099.6</v>
      </c>
      <c r="D9" s="65">
        <v>5.2744020564440524</v>
      </c>
      <c r="E9" s="16">
        <v>1091768.2</v>
      </c>
      <c r="F9" s="65">
        <v>50.991659258009854</v>
      </c>
      <c r="G9" s="63">
        <v>554854.93333333335</v>
      </c>
      <c r="I9">
        <f t="shared" si="0"/>
        <v>3.0295433955418698</v>
      </c>
    </row>
    <row r="10" spans="1:9">
      <c r="A10" s="8" t="s">
        <v>7</v>
      </c>
      <c r="B10" s="16">
        <v>2855.5600000000004</v>
      </c>
      <c r="C10" s="16">
        <v>13834.266666666666</v>
      </c>
      <c r="D10" s="65">
        <v>5.0477448468016402</v>
      </c>
      <c r="E10" s="16">
        <v>1351016.7333333334</v>
      </c>
      <c r="F10" s="65">
        <v>51.912820218070557</v>
      </c>
      <c r="G10" s="63">
        <v>701409.1333333333</v>
      </c>
      <c r="I10">
        <f t="shared" si="0"/>
        <v>3.4556912898361625</v>
      </c>
    </row>
    <row r="11" spans="1:9">
      <c r="A11" s="8" t="s">
        <v>8</v>
      </c>
      <c r="B11" s="16">
        <v>2085.46</v>
      </c>
      <c r="C11" s="16">
        <v>6453.2</v>
      </c>
      <c r="D11" s="65">
        <v>5.237792577925779</v>
      </c>
      <c r="E11" s="16">
        <v>876532</v>
      </c>
      <c r="F11" s="65">
        <v>59.393740500778058</v>
      </c>
      <c r="G11" s="63">
        <v>520758.73333333334</v>
      </c>
      <c r="I11">
        <f t="shared" si="0"/>
        <v>3.3192018643108963</v>
      </c>
    </row>
    <row r="12" spans="1:9">
      <c r="A12" s="8" t="s">
        <v>9</v>
      </c>
      <c r="B12" s="16">
        <v>1813.8199999999997</v>
      </c>
      <c r="C12" s="16">
        <v>4070.2</v>
      </c>
      <c r="D12" s="65">
        <v>5.3026385452002867</v>
      </c>
      <c r="E12" s="16">
        <v>745924.73333333328</v>
      </c>
      <c r="F12" s="65">
        <v>45.274321314000602</v>
      </c>
      <c r="G12" s="63">
        <v>336808.93333333335</v>
      </c>
      <c r="I12">
        <f t="shared" si="0"/>
        <v>3.2585941863153205</v>
      </c>
    </row>
    <row r="13" spans="1:9">
      <c r="A13" s="8" t="s">
        <v>10</v>
      </c>
      <c r="B13" s="16">
        <v>4040.7400000000002</v>
      </c>
      <c r="C13" s="16">
        <v>1778.5333333333333</v>
      </c>
      <c r="D13" s="65">
        <v>5.4568636100056009</v>
      </c>
      <c r="E13" s="16">
        <v>599845.53333333333</v>
      </c>
      <c r="F13" s="65">
        <v>46.867649109714435</v>
      </c>
      <c r="G13" s="63">
        <v>281357.40000000002</v>
      </c>
      <c r="I13">
        <f t="shared" si="0"/>
        <v>3.6064609068153266</v>
      </c>
    </row>
    <row r="14" spans="1:9">
      <c r="A14" s="8" t="s">
        <v>68</v>
      </c>
      <c r="B14" s="16">
        <v>874.99333333333334</v>
      </c>
      <c r="C14" s="16">
        <v>3039.1333333333332</v>
      </c>
      <c r="D14" s="65">
        <v>5.4477931369665571</v>
      </c>
      <c r="E14" s="16">
        <v>2374142.7333333334</v>
      </c>
      <c r="F14" s="65">
        <v>38.418339465399278</v>
      </c>
      <c r="G14" s="63">
        <v>900458</v>
      </c>
      <c r="I14">
        <f t="shared" si="0"/>
        <v>2.9420047440993695</v>
      </c>
    </row>
    <row r="15" spans="1:9">
      <c r="A15" s="8" t="s">
        <v>11</v>
      </c>
      <c r="B15" s="16">
        <v>2876.4333333333334</v>
      </c>
      <c r="C15" s="16">
        <v>5027.3999999999996</v>
      </c>
      <c r="D15" s="65">
        <v>5.1106238370324375</v>
      </c>
      <c r="E15" s="16">
        <v>751228.73333333328</v>
      </c>
      <c r="F15" s="65">
        <v>56.515202316615415</v>
      </c>
      <c r="G15" s="63">
        <v>424483.8</v>
      </c>
      <c r="I15">
        <f t="shared" si="0"/>
        <v>3.45885431289968</v>
      </c>
    </row>
    <row r="16" spans="1:9">
      <c r="A16" s="8" t="s">
        <v>12</v>
      </c>
      <c r="B16" s="16">
        <v>1808.3200000000002</v>
      </c>
      <c r="C16" s="16">
        <v>2118.2666666666669</v>
      </c>
      <c r="D16" s="65">
        <v>5.2412656270578806</v>
      </c>
      <c r="E16" s="16">
        <v>574834</v>
      </c>
      <c r="F16" s="65">
        <v>58.157644943256038</v>
      </c>
      <c r="G16" s="63">
        <v>334883.8</v>
      </c>
      <c r="I16">
        <f t="shared" si="0"/>
        <v>3.2572752856178044</v>
      </c>
    </row>
    <row r="17" spans="1:9">
      <c r="A17" s="8" t="s">
        <v>13</v>
      </c>
      <c r="B17" s="16">
        <v>2114.98</v>
      </c>
      <c r="C17" s="16">
        <v>9941</v>
      </c>
      <c r="D17" s="65">
        <v>5.16164313964883</v>
      </c>
      <c r="E17" s="16">
        <v>1346907.1333333333</v>
      </c>
      <c r="F17" s="65">
        <v>52.781679661544075</v>
      </c>
      <c r="G17" s="63">
        <v>711156.2</v>
      </c>
      <c r="I17">
        <f t="shared" si="0"/>
        <v>3.3253062648880323</v>
      </c>
    </row>
    <row r="18" spans="1:9">
      <c r="A18" s="8" t="s">
        <v>14</v>
      </c>
      <c r="B18" s="16">
        <v>4993.3399999999992</v>
      </c>
      <c r="C18" s="16">
        <v>11644.466666666667</v>
      </c>
      <c r="D18" s="65">
        <v>5.2080265596771538</v>
      </c>
      <c r="E18" s="16">
        <v>887533.46666666667</v>
      </c>
      <c r="F18" s="65">
        <v>55.443789053287489</v>
      </c>
      <c r="G18" s="63">
        <v>485758.86666666664</v>
      </c>
      <c r="I18">
        <f t="shared" si="0"/>
        <v>3.698391138475817</v>
      </c>
    </row>
    <row r="19" spans="1:9">
      <c r="A19" s="8" t="s">
        <v>15</v>
      </c>
      <c r="B19" s="16">
        <v>5325.7800000000007</v>
      </c>
      <c r="C19" s="16">
        <v>42013.066666666666</v>
      </c>
      <c r="D19" s="65">
        <v>5.6835855510577415</v>
      </c>
      <c r="E19" s="16">
        <v>1644614.9333333333</v>
      </c>
      <c r="F19" s="65">
        <v>52.879669160540061</v>
      </c>
      <c r="G19" s="63">
        <v>868974.33333333337</v>
      </c>
      <c r="I19">
        <f t="shared" si="0"/>
        <v>3.7263832224184692</v>
      </c>
    </row>
    <row r="22" spans="1:9">
      <c r="A22" t="s">
        <v>19</v>
      </c>
    </row>
    <row r="23" spans="1:9" ht="17" thickBot="1"/>
    <row r="24" spans="1:9">
      <c r="A24" s="12" t="s">
        <v>20</v>
      </c>
      <c r="B24" s="12"/>
    </row>
    <row r="25" spans="1:9">
      <c r="A25" t="s">
        <v>21</v>
      </c>
      <c r="B25">
        <v>0.81237963942647995</v>
      </c>
    </row>
    <row r="26" spans="1:9">
      <c r="A26" t="s">
        <v>22</v>
      </c>
      <c r="B26">
        <v>0.65996067855469764</v>
      </c>
    </row>
    <row r="27" spans="1:9">
      <c r="A27" t="s">
        <v>23</v>
      </c>
      <c r="B27">
        <v>0.48994101783204647</v>
      </c>
    </row>
    <row r="28" spans="1:9">
      <c r="A28" t="s">
        <v>24</v>
      </c>
      <c r="B28">
        <v>0.16181888447724643</v>
      </c>
    </row>
    <row r="29" spans="1:9" ht="17" thickBot="1">
      <c r="A29" s="10" t="s">
        <v>25</v>
      </c>
      <c r="B29" s="10">
        <v>16</v>
      </c>
    </row>
    <row r="31" spans="1:9" ht="17" thickBot="1">
      <c r="A31" t="s">
        <v>26</v>
      </c>
    </row>
    <row r="32" spans="1:9">
      <c r="A32" s="11"/>
      <c r="B32" s="11" t="s">
        <v>31</v>
      </c>
      <c r="C32" s="11" t="s">
        <v>32</v>
      </c>
      <c r="D32" s="11" t="s">
        <v>33</v>
      </c>
      <c r="E32" s="11" t="s">
        <v>34</v>
      </c>
      <c r="F32" s="11" t="s">
        <v>35</v>
      </c>
    </row>
    <row r="33" spans="1:9">
      <c r="A33" t="s">
        <v>27</v>
      </c>
      <c r="B33">
        <v>5</v>
      </c>
      <c r="C33">
        <v>0.50821482019108033</v>
      </c>
      <c r="D33">
        <v>0.10164296403821607</v>
      </c>
      <c r="E33">
        <v>3.8816727180233301</v>
      </c>
      <c r="F33">
        <v>3.2405984585418039E-2</v>
      </c>
    </row>
    <row r="34" spans="1:9">
      <c r="A34" t="s">
        <v>28</v>
      </c>
      <c r="B34">
        <v>10</v>
      </c>
      <c r="C34">
        <v>0.26185351373460425</v>
      </c>
      <c r="D34">
        <v>2.6185351373460425E-2</v>
      </c>
    </row>
    <row r="35" spans="1:9" ht="17" thickBot="1">
      <c r="A35" s="10" t="s">
        <v>29</v>
      </c>
      <c r="B35" s="10">
        <v>15</v>
      </c>
      <c r="C35" s="10">
        <v>0.77006833392568463</v>
      </c>
      <c r="D35" s="10"/>
      <c r="E35" s="10"/>
      <c r="F35" s="10"/>
    </row>
    <row r="36" spans="1:9" ht="17" thickBot="1"/>
    <row r="37" spans="1:9">
      <c r="A37" s="11"/>
      <c r="B37" s="11" t="s">
        <v>36</v>
      </c>
      <c r="C37" s="11" t="s">
        <v>24</v>
      </c>
      <c r="D37" s="11" t="s">
        <v>37</v>
      </c>
      <c r="E37" s="11" t="s">
        <v>38</v>
      </c>
      <c r="F37" s="11" t="s">
        <v>39</v>
      </c>
      <c r="G37" s="11" t="s">
        <v>40</v>
      </c>
      <c r="H37" s="11" t="s">
        <v>41</v>
      </c>
      <c r="I37" s="11" t="s">
        <v>42</v>
      </c>
    </row>
    <row r="38" spans="1:9">
      <c r="A38" t="s">
        <v>30</v>
      </c>
      <c r="B38">
        <v>5.2388500409285088</v>
      </c>
      <c r="C38">
        <v>2.1273244848771031</v>
      </c>
      <c r="D38">
        <v>2.4626473667608635</v>
      </c>
      <c r="E38">
        <v>3.3524198789396463E-2</v>
      </c>
      <c r="F38">
        <v>0.49887570539214776</v>
      </c>
      <c r="G38">
        <v>9.9788243764648694</v>
      </c>
      <c r="H38">
        <v>0.49887570539214776</v>
      </c>
      <c r="I38">
        <v>9.9788243764648694</v>
      </c>
    </row>
    <row r="39" spans="1:9">
      <c r="A39" t="s">
        <v>71</v>
      </c>
      <c r="B39">
        <v>2.0247773280795907E-5</v>
      </c>
      <c r="C39">
        <v>7.4365535095671825E-6</v>
      </c>
      <c r="D39">
        <v>2.722736178089352</v>
      </c>
      <c r="E39">
        <v>2.1459304313129444E-2</v>
      </c>
      <c r="F39">
        <v>3.6780994812543853E-6</v>
      </c>
      <c r="G39">
        <v>3.6817447080337429E-5</v>
      </c>
      <c r="H39">
        <v>3.6780994812543853E-6</v>
      </c>
      <c r="I39">
        <v>3.6817447080337429E-5</v>
      </c>
    </row>
    <row r="40" spans="1:9">
      <c r="A40" t="s">
        <v>72</v>
      </c>
      <c r="B40">
        <v>-0.25652677002496355</v>
      </c>
      <c r="C40">
        <v>0.37308985426467933</v>
      </c>
      <c r="D40">
        <v>-0.68757369596809514</v>
      </c>
      <c r="E40">
        <v>0.50735461715744312</v>
      </c>
      <c r="F40">
        <v>-1.0878227695939926</v>
      </c>
      <c r="G40">
        <v>0.57476922954406551</v>
      </c>
      <c r="H40">
        <v>-1.0878227695939926</v>
      </c>
      <c r="I40">
        <v>0.57476922954406551</v>
      </c>
    </row>
    <row r="41" spans="1:9">
      <c r="A41" t="s">
        <v>73</v>
      </c>
      <c r="B41">
        <v>-2.2984834223753584E-7</v>
      </c>
      <c r="C41">
        <v>6.2519299650837485E-7</v>
      </c>
      <c r="D41">
        <v>-0.36764382122194306</v>
      </c>
      <c r="E41">
        <v>0.72080060078808472</v>
      </c>
      <c r="F41">
        <v>-1.6228651477475651E-6</v>
      </c>
      <c r="G41">
        <v>1.1631684632724932E-6</v>
      </c>
      <c r="H41">
        <v>-1.6228651477475651E-6</v>
      </c>
      <c r="I41">
        <v>1.1631684632724932E-6</v>
      </c>
    </row>
    <row r="42" spans="1:9">
      <c r="A42" t="s">
        <v>74</v>
      </c>
      <c r="B42">
        <v>-6.6317484853598771E-3</v>
      </c>
      <c r="C42">
        <v>1.7105622208013826E-2</v>
      </c>
      <c r="D42">
        <v>-0.38769408120407128</v>
      </c>
      <c r="E42">
        <v>0.70636665612374272</v>
      </c>
      <c r="F42">
        <v>-4.4745449914434722E-2</v>
      </c>
      <c r="G42">
        <v>3.1481952943714968E-2</v>
      </c>
      <c r="H42">
        <v>-4.4745449914434722E-2</v>
      </c>
      <c r="I42">
        <v>3.1481952943714968E-2</v>
      </c>
    </row>
    <row r="43" spans="1:9" ht="17" thickBot="1">
      <c r="A43" s="10" t="s">
        <v>75</v>
      </c>
      <c r="B43" s="10">
        <v>-1.9583696893470334E-7</v>
      </c>
      <c r="C43" s="10">
        <v>1.3664946297243568E-6</v>
      </c>
      <c r="D43" s="10">
        <v>-0.14331338351048384</v>
      </c>
      <c r="E43" s="10">
        <v>0.88888940061847554</v>
      </c>
      <c r="F43" s="10">
        <v>-3.2405767444541408E-6</v>
      </c>
      <c r="G43" s="10">
        <v>2.8489028065847341E-6</v>
      </c>
      <c r="H43" s="10">
        <v>-3.2405767444541408E-6</v>
      </c>
      <c r="I43" s="10">
        <v>2.8489028065847341E-6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3658-2486-6449-8419-2F12B979E8E2}">
  <dimension ref="A1:AA42"/>
  <sheetViews>
    <sheetView topLeftCell="A17" zoomScale="107" zoomScaleNormal="80" workbookViewId="0">
      <selection activeCell="B39" sqref="B39:C39"/>
    </sheetView>
  </sheetViews>
  <sheetFormatPr baseColWidth="10" defaultRowHeight="16"/>
  <cols>
    <col min="1" max="5" width="11" bestFit="1" customWidth="1"/>
    <col min="6" max="6" width="12" bestFit="1" customWidth="1"/>
    <col min="7" max="7" width="13.1640625" bestFit="1" customWidth="1"/>
    <col min="8" max="8" width="11" bestFit="1" customWidth="1"/>
    <col min="9" max="9" width="12.6640625" bestFit="1" customWidth="1"/>
    <col min="10" max="10" width="9.6640625" bestFit="1" customWidth="1"/>
    <col min="11" max="11" width="13.6640625" bestFit="1" customWidth="1"/>
    <col min="12" max="12" width="11" bestFit="1" customWidth="1"/>
    <col min="13" max="13" width="13.6640625" bestFit="1" customWidth="1"/>
    <col min="14" max="14" width="6.1640625" bestFit="1" customWidth="1"/>
    <col min="15" max="15" width="16.83203125" bestFit="1" customWidth="1"/>
    <col min="16" max="16" width="8.83203125" bestFit="1" customWidth="1"/>
    <col min="17" max="17" width="15.33203125" bestFit="1" customWidth="1"/>
    <col min="18" max="18" width="11" bestFit="1" customWidth="1"/>
    <col min="19" max="26" width="13.1640625" bestFit="1" customWidth="1"/>
    <col min="27" max="28" width="13" bestFit="1" customWidth="1"/>
  </cols>
  <sheetData>
    <row r="1" spans="1:27">
      <c r="A1" s="68" t="s">
        <v>90</v>
      </c>
    </row>
    <row r="3" spans="1:27">
      <c r="A3" s="64"/>
      <c r="B3" s="1" t="s">
        <v>76</v>
      </c>
      <c r="D3" s="2" t="s">
        <v>77</v>
      </c>
      <c r="E3" s="2" t="s">
        <v>89</v>
      </c>
      <c r="F3" s="2" t="s">
        <v>87</v>
      </c>
      <c r="H3" s="2" t="s">
        <v>71</v>
      </c>
      <c r="I3" s="2" t="s">
        <v>72</v>
      </c>
      <c r="J3" s="2" t="s">
        <v>73</v>
      </c>
      <c r="K3" s="2" t="s">
        <v>74</v>
      </c>
      <c r="L3" s="2" t="s">
        <v>75</v>
      </c>
      <c r="M3" s="2" t="s">
        <v>96</v>
      </c>
      <c r="N3" s="2" t="s">
        <v>97</v>
      </c>
      <c r="O3" s="2" t="s">
        <v>98</v>
      </c>
      <c r="P3" s="2" t="s">
        <v>99</v>
      </c>
      <c r="Q3" s="2" t="s">
        <v>100</v>
      </c>
      <c r="R3" s="2" t="s">
        <v>101</v>
      </c>
      <c r="S3" s="2" t="s">
        <v>102</v>
      </c>
      <c r="T3" s="2" t="s">
        <v>103</v>
      </c>
      <c r="U3" s="2" t="s">
        <v>104</v>
      </c>
      <c r="V3" s="2" t="s">
        <v>105</v>
      </c>
      <c r="W3" s="2" t="s">
        <v>106</v>
      </c>
      <c r="X3" s="2" t="s">
        <v>107</v>
      </c>
      <c r="Y3" s="2" t="s">
        <v>108</v>
      </c>
      <c r="Z3" s="2" t="s">
        <v>109</v>
      </c>
      <c r="AA3" s="2" t="s">
        <v>110</v>
      </c>
    </row>
    <row r="4" spans="1:27">
      <c r="A4" s="8" t="s">
        <v>1</v>
      </c>
      <c r="B4" s="16">
        <v>1907.4000000000003</v>
      </c>
      <c r="D4" s="60">
        <f t="shared" ref="D4:D19" si="0">$B$21+$B$22*H4+$B$23*I4+$B$24*J4+$B$25*K4+$B$26*L4</f>
        <v>2387.9845666857777</v>
      </c>
      <c r="E4" s="67">
        <f>B4-D4</f>
        <v>-480.58456668577742</v>
      </c>
      <c r="F4" s="67">
        <f>E4^2</f>
        <v>230961.52573655645</v>
      </c>
      <c r="H4" s="16">
        <v>5166.6000000000004</v>
      </c>
      <c r="I4" s="65">
        <v>5.3082092778058581</v>
      </c>
      <c r="J4" s="16">
        <v>740357</v>
      </c>
      <c r="K4" s="65">
        <v>58.659854289439131</v>
      </c>
      <c r="L4" s="63">
        <v>434199.86666666664</v>
      </c>
      <c r="M4" s="70">
        <f t="shared" ref="M4:M19" si="1">H4^2</f>
        <v>26693755.560000002</v>
      </c>
      <c r="N4" s="67">
        <f t="shared" ref="N4:N19" si="2">I4^2</f>
        <v>28.177085736984189</v>
      </c>
      <c r="O4" s="70">
        <f t="shared" ref="O4:O19" si="3">J4^2</f>
        <v>548128487449</v>
      </c>
      <c r="P4" s="67">
        <f t="shared" ref="P4:P19" si="4">K4^2</f>
        <v>3440.9785052582306</v>
      </c>
      <c r="Q4" s="70">
        <f t="shared" ref="Q4:Q19" si="5">L4^2</f>
        <v>188529524213.35107</v>
      </c>
      <c r="R4">
        <f t="shared" ref="R4:R19" si="6">H4*I4</f>
        <v>27425.394054711749</v>
      </c>
      <c r="S4">
        <f t="shared" ref="S4:S19" si="7">H4*J4</f>
        <v>3825128476.2000003</v>
      </c>
      <c r="T4">
        <f t="shared" ref="T4:T19" si="8">H4*K4</f>
        <v>303072.00317181624</v>
      </c>
      <c r="U4">
        <f t="shared" ref="U4:U19" si="9">H4*L4</f>
        <v>2243337031.1199999</v>
      </c>
      <c r="V4">
        <f t="shared" ref="V4:V19" si="10">I4*J4</f>
        <v>3929969.8962885118</v>
      </c>
      <c r="W4">
        <f t="shared" ref="W4:W19" si="11">I4*K4</f>
        <v>311.37878277394054</v>
      </c>
      <c r="X4">
        <f t="shared" ref="X4:X19" si="12">I4*L4</f>
        <v>2304823.7606620663</v>
      </c>
      <c r="Y4">
        <f t="shared" ref="Y4:Y19" si="13">J4*K4</f>
        <v>43429233.742166288</v>
      </c>
      <c r="Z4">
        <f t="shared" ref="Z4:Z19" si="14">J4*L4</f>
        <v>321462910685.73334</v>
      </c>
      <c r="AA4">
        <f t="shared" ref="AA4:AA19" si="15">K4*L4</f>
        <v>25470100.911160562</v>
      </c>
    </row>
    <row r="5" spans="1:27">
      <c r="A5" s="8" t="s">
        <v>2</v>
      </c>
      <c r="B5" s="16">
        <v>2582.5333333333333</v>
      </c>
      <c r="D5" s="60">
        <f t="shared" si="0"/>
        <v>2834.1941974018646</v>
      </c>
      <c r="E5" s="67">
        <f t="shared" ref="E5:E19" si="16">B5-D5</f>
        <v>-251.66086406853128</v>
      </c>
      <c r="F5" s="67">
        <f t="shared" ref="F5:F19" si="17">E5^2</f>
        <v>63333.190503719779</v>
      </c>
      <c r="H5" s="16">
        <v>6248.8</v>
      </c>
      <c r="I5" s="65">
        <v>5.0717551491695207</v>
      </c>
      <c r="J5" s="16">
        <v>821060.4</v>
      </c>
      <c r="K5" s="65">
        <v>52.012057141546194</v>
      </c>
      <c r="L5" s="63">
        <v>425996.93333333335</v>
      </c>
      <c r="M5" s="70">
        <f t="shared" si="1"/>
        <v>39047501.440000005</v>
      </c>
      <c r="N5" s="67">
        <f t="shared" si="2"/>
        <v>25.722700293127549</v>
      </c>
      <c r="O5" s="70">
        <f t="shared" si="3"/>
        <v>674140180448.16003</v>
      </c>
      <c r="P5" s="67">
        <f t="shared" si="4"/>
        <v>2705.2540880954666</v>
      </c>
      <c r="Q5" s="70">
        <f t="shared" si="5"/>
        <v>181473387209.40445</v>
      </c>
      <c r="R5">
        <f t="shared" si="6"/>
        <v>31692.383576130502</v>
      </c>
      <c r="S5">
        <f t="shared" si="7"/>
        <v>5130642227.5200005</v>
      </c>
      <c r="T5">
        <f t="shared" si="8"/>
        <v>325012.94266609388</v>
      </c>
      <c r="U5">
        <f t="shared" si="9"/>
        <v>2661969637.0133333</v>
      </c>
      <c r="V5">
        <f t="shared" si="10"/>
        <v>4164217.3114791866</v>
      </c>
      <c r="W5">
        <f t="shared" si="11"/>
        <v>263.79241862653623</v>
      </c>
      <c r="X5">
        <f t="shared" si="12"/>
        <v>2160552.1401637583</v>
      </c>
      <c r="Y5">
        <f t="shared" si="13"/>
        <v>42705040.441460773</v>
      </c>
      <c r="Z5">
        <f t="shared" si="14"/>
        <v>349769212481.44</v>
      </c>
      <c r="AA5">
        <f t="shared" si="15"/>
        <v>22156976.838656779</v>
      </c>
    </row>
    <row r="6" spans="1:27">
      <c r="A6" s="8" t="s">
        <v>3</v>
      </c>
      <c r="B6" s="16">
        <v>1191.0999999999999</v>
      </c>
      <c r="D6" s="60">
        <f t="shared" si="0"/>
        <v>699.73622731108958</v>
      </c>
      <c r="E6" s="67">
        <f t="shared" si="16"/>
        <v>491.36377268891033</v>
      </c>
      <c r="F6" s="67">
        <f t="shared" si="17"/>
        <v>241438.35711107915</v>
      </c>
      <c r="H6" s="16">
        <v>2590.8666666666668</v>
      </c>
      <c r="I6" s="65">
        <v>5.1005678979394506</v>
      </c>
      <c r="J6" s="16">
        <v>1901185.4666666666</v>
      </c>
      <c r="K6" s="65">
        <v>51.201257735567715</v>
      </c>
      <c r="L6" s="63">
        <v>974092.80000000005</v>
      </c>
      <c r="M6" s="70">
        <f t="shared" si="1"/>
        <v>6712590.0844444446</v>
      </c>
      <c r="N6" s="67">
        <f t="shared" si="2"/>
        <v>26.015792881490466</v>
      </c>
      <c r="O6" s="70">
        <f t="shared" si="3"/>
        <v>3614506178664.5508</v>
      </c>
      <c r="P6" s="67">
        <f t="shared" si="4"/>
        <v>2621.5687937040329</v>
      </c>
      <c r="Q6" s="70">
        <f t="shared" si="5"/>
        <v>948856783011.84009</v>
      </c>
      <c r="R6">
        <f t="shared" si="6"/>
        <v>13214.891347841392</v>
      </c>
      <c r="S6">
        <f t="shared" si="7"/>
        <v>4925718052.7377777</v>
      </c>
      <c r="T6">
        <f t="shared" si="8"/>
        <v>132655.63195849123</v>
      </c>
      <c r="U6">
        <f t="shared" si="9"/>
        <v>2523744565.7600002</v>
      </c>
      <c r="V6">
        <f t="shared" si="10"/>
        <v>9697125.5593090337</v>
      </c>
      <c r="W6">
        <f t="shared" si="11"/>
        <v>261.15549154016065</v>
      </c>
      <c r="X6">
        <f t="shared" si="12"/>
        <v>4968426.4652939541</v>
      </c>
      <c r="Y6">
        <f t="shared" si="13"/>
        <v>97343087.081915572</v>
      </c>
      <c r="Z6">
        <f t="shared" si="14"/>
        <v>1851931074544.6399</v>
      </c>
      <c r="AA6">
        <f t="shared" si="15"/>
        <v>49874776.511160821</v>
      </c>
    </row>
    <row r="7" spans="1:27">
      <c r="A7" s="8" t="s">
        <v>4</v>
      </c>
      <c r="B7" s="16">
        <v>3146.1488888888885</v>
      </c>
      <c r="D7" s="60">
        <f t="shared" si="0"/>
        <v>2888.36786037516</v>
      </c>
      <c r="E7" s="67">
        <f t="shared" si="16"/>
        <v>257.78102851372842</v>
      </c>
      <c r="F7" s="67">
        <f t="shared" si="17"/>
        <v>66451.058661595656</v>
      </c>
      <c r="H7" s="16">
        <v>3812.8</v>
      </c>
      <c r="I7" s="65">
        <v>5.1272700068587911</v>
      </c>
      <c r="J7" s="16">
        <v>582669.06666666665</v>
      </c>
      <c r="K7" s="65">
        <v>52.17390431176684</v>
      </c>
      <c r="L7" s="63">
        <v>303734.66666666669</v>
      </c>
      <c r="M7" s="70">
        <f t="shared" si="1"/>
        <v>14537443.840000002</v>
      </c>
      <c r="N7" s="67">
        <f t="shared" si="2"/>
        <v>26.288897723233749</v>
      </c>
      <c r="O7" s="70">
        <f t="shared" si="3"/>
        <v>339503241250.20441</v>
      </c>
      <c r="P7" s="67">
        <f t="shared" si="4"/>
        <v>2722.1162911334027</v>
      </c>
      <c r="Q7" s="70">
        <f t="shared" si="5"/>
        <v>92254747735.11113</v>
      </c>
      <c r="R7">
        <f t="shared" si="6"/>
        <v>19549.255082151201</v>
      </c>
      <c r="S7">
        <f t="shared" si="7"/>
        <v>2221600617.3866668</v>
      </c>
      <c r="T7">
        <f t="shared" si="8"/>
        <v>198928.66235990461</v>
      </c>
      <c r="U7">
        <f t="shared" si="9"/>
        <v>1158079537.0666668</v>
      </c>
      <c r="V7">
        <f t="shared" si="10"/>
        <v>2987501.6294444054</v>
      </c>
      <c r="W7">
        <f t="shared" si="11"/>
        <v>267.50969471844269</v>
      </c>
      <c r="X7">
        <f t="shared" si="12"/>
        <v>1557329.6464432527</v>
      </c>
      <c r="Y7">
        <f t="shared" si="13"/>
        <v>30400120.129693158</v>
      </c>
      <c r="Z7">
        <f t="shared" si="14"/>
        <v>176976794740.97778</v>
      </c>
      <c r="AA7">
        <f t="shared" si="15"/>
        <v>15847023.434833065</v>
      </c>
    </row>
    <row r="8" spans="1:27">
      <c r="A8" s="8" t="s">
        <v>5</v>
      </c>
      <c r="B8" s="16">
        <v>3321.0733333333333</v>
      </c>
      <c r="D8" s="60">
        <f t="shared" si="0"/>
        <v>3244.1500564126527</v>
      </c>
      <c r="E8" s="67">
        <f t="shared" si="16"/>
        <v>76.923276920680564</v>
      </c>
      <c r="F8" s="67">
        <f t="shared" si="17"/>
        <v>5917.1905322157072</v>
      </c>
      <c r="H8" s="16">
        <v>8445.7999999999993</v>
      </c>
      <c r="I8" s="65">
        <v>5.2660793678517441</v>
      </c>
      <c r="J8" s="16">
        <v>632635.53333333333</v>
      </c>
      <c r="K8" s="65">
        <v>53.08116827324163</v>
      </c>
      <c r="L8" s="63">
        <v>335477.33333333331</v>
      </c>
      <c r="M8" s="70">
        <f t="shared" si="1"/>
        <v>71331537.639999986</v>
      </c>
      <c r="N8" s="67">
        <f t="shared" si="2"/>
        <v>27.731591908513824</v>
      </c>
      <c r="O8" s="70">
        <f t="shared" si="3"/>
        <v>400227718035.95111</v>
      </c>
      <c r="P8" s="67">
        <f t="shared" si="4"/>
        <v>2817.6104252521936</v>
      </c>
      <c r="Q8" s="70">
        <f t="shared" si="5"/>
        <v>112545041180.44443</v>
      </c>
      <c r="R8">
        <f t="shared" si="6"/>
        <v>44476.253125002258</v>
      </c>
      <c r="S8">
        <f t="shared" si="7"/>
        <v>5343113187.4266663</v>
      </c>
      <c r="T8">
        <f t="shared" si="8"/>
        <v>448312.93100214412</v>
      </c>
      <c r="U8">
        <f t="shared" si="9"/>
        <v>2833374461.8666663</v>
      </c>
      <c r="V8">
        <f t="shared" si="10"/>
        <v>3331508.9294565511</v>
      </c>
      <c r="W8">
        <f t="shared" si="11"/>
        <v>279.52964506518435</v>
      </c>
      <c r="X8">
        <f t="shared" si="12"/>
        <v>1766650.2634485888</v>
      </c>
      <c r="Y8">
        <f t="shared" si="13"/>
        <v>33581033.200498633</v>
      </c>
      <c r="Z8">
        <f t="shared" si="14"/>
        <v>212234881694.57776</v>
      </c>
      <c r="AA8">
        <f t="shared" si="15"/>
        <v>17807528.78252504</v>
      </c>
    </row>
    <row r="9" spans="1:27">
      <c r="A9" s="8" t="s">
        <v>6</v>
      </c>
      <c r="B9" s="16">
        <v>1070.3933333333332</v>
      </c>
      <c r="D9" s="60">
        <f t="shared" si="0"/>
        <v>2567.8004356860783</v>
      </c>
      <c r="E9" s="67">
        <f t="shared" si="16"/>
        <v>-1497.4071023527451</v>
      </c>
      <c r="F9" s="67">
        <f t="shared" si="17"/>
        <v>2242228.0301764444</v>
      </c>
      <c r="H9" s="16">
        <v>8099.6</v>
      </c>
      <c r="I9" s="65">
        <v>5.2744020564440524</v>
      </c>
      <c r="J9" s="16">
        <v>1091768.2</v>
      </c>
      <c r="K9" s="65">
        <v>50.991659258009854</v>
      </c>
      <c r="L9" s="63">
        <v>554854.93333333335</v>
      </c>
      <c r="M9" s="70">
        <f t="shared" si="1"/>
        <v>65603520.160000004</v>
      </c>
      <c r="N9" s="67">
        <f t="shared" si="2"/>
        <v>27.819317053021248</v>
      </c>
      <c r="O9" s="70">
        <f t="shared" si="3"/>
        <v>1191957802531.24</v>
      </c>
      <c r="P9" s="67">
        <f t="shared" si="4"/>
        <v>2600.1493138849819</v>
      </c>
      <c r="Q9" s="70">
        <f t="shared" si="5"/>
        <v>307863997044.33777</v>
      </c>
      <c r="R9">
        <f t="shared" si="6"/>
        <v>42720.546896374246</v>
      </c>
      <c r="S9">
        <f t="shared" si="7"/>
        <v>8842885712.7199993</v>
      </c>
      <c r="T9">
        <f t="shared" si="8"/>
        <v>413012.04332617664</v>
      </c>
      <c r="U9">
        <f t="shared" si="9"/>
        <v>4494103018.0266666</v>
      </c>
      <c r="V9">
        <f t="shared" si="10"/>
        <v>5758424.4392402209</v>
      </c>
      <c r="W9">
        <f t="shared" si="11"/>
        <v>268.95051245194156</v>
      </c>
      <c r="X9">
        <f t="shared" si="12"/>
        <v>2926528.0014014612</v>
      </c>
      <c r="Y9">
        <f t="shared" si="13"/>
        <v>55671072.043130748</v>
      </c>
      <c r="Z9">
        <f t="shared" si="14"/>
        <v>605772971826.45337</v>
      </c>
      <c r="AA9">
        <f t="shared" si="15"/>
        <v>28292973.698159106</v>
      </c>
    </row>
    <row r="10" spans="1:27">
      <c r="A10" s="8" t="s">
        <v>7</v>
      </c>
      <c r="B10" s="16">
        <v>2855.5600000000004</v>
      </c>
      <c r="D10" s="60">
        <f t="shared" si="0"/>
        <v>2903.7263649841589</v>
      </c>
      <c r="E10" s="67">
        <f t="shared" si="16"/>
        <v>-48.166364984158463</v>
      </c>
      <c r="F10" s="67">
        <f t="shared" si="17"/>
        <v>2319.9987157871665</v>
      </c>
      <c r="H10" s="16">
        <v>13834.266666666666</v>
      </c>
      <c r="I10" s="65">
        <v>5.0477448468016402</v>
      </c>
      <c r="J10" s="16">
        <v>1351016.7333333334</v>
      </c>
      <c r="K10" s="65">
        <v>51.912820218070557</v>
      </c>
      <c r="L10" s="63">
        <v>701409.1333333333</v>
      </c>
      <c r="M10" s="70">
        <f t="shared" si="1"/>
        <v>191386934.20444444</v>
      </c>
      <c r="N10" s="67">
        <f t="shared" si="2"/>
        <v>25.479728038412514</v>
      </c>
      <c r="O10" s="70">
        <f t="shared" si="3"/>
        <v>1825246213746.6714</v>
      </c>
      <c r="P10" s="67">
        <f t="shared" si="4"/>
        <v>2694.9409029937151</v>
      </c>
      <c r="Q10" s="70">
        <f t="shared" si="5"/>
        <v>491974772323.41772</v>
      </c>
      <c r="R10">
        <f t="shared" si="6"/>
        <v>69831.848275946366</v>
      </c>
      <c r="S10">
        <f t="shared" si="7"/>
        <v>18690325760.062222</v>
      </c>
      <c r="T10">
        <f t="shared" si="8"/>
        <v>718175.79831551295</v>
      </c>
      <c r="U10">
        <f t="shared" si="9"/>
        <v>9703480992.9688892</v>
      </c>
      <c r="V10">
        <f t="shared" si="10"/>
        <v>6819587.7536261193</v>
      </c>
      <c r="W10">
        <f t="shared" si="11"/>
        <v>262.04267073870562</v>
      </c>
      <c r="X10">
        <f t="shared" si="12"/>
        <v>3540534.3382829376</v>
      </c>
      <c r="Y10">
        <f t="shared" si="13"/>
        <v>70135088.789138302</v>
      </c>
      <c r="Z10">
        <f t="shared" si="14"/>
        <v>947615476046.16443</v>
      </c>
      <c r="AA10">
        <f t="shared" si="15"/>
        <v>36412126.238046013</v>
      </c>
    </row>
    <row r="11" spans="1:27">
      <c r="A11" s="8" t="s">
        <v>8</v>
      </c>
      <c r="B11" s="16">
        <v>2085.46</v>
      </c>
      <c r="D11" s="60">
        <f t="shared" si="0"/>
        <v>2307.2177706953826</v>
      </c>
      <c r="E11" s="67">
        <f t="shared" si="16"/>
        <v>-221.75777069538253</v>
      </c>
      <c r="F11" s="67">
        <f t="shared" si="17"/>
        <v>49176.508863785857</v>
      </c>
      <c r="H11" s="16">
        <v>6453.2</v>
      </c>
      <c r="I11" s="65">
        <v>5.237792577925779</v>
      </c>
      <c r="J11" s="16">
        <v>876532</v>
      </c>
      <c r="K11" s="65">
        <v>59.393740500778058</v>
      </c>
      <c r="L11" s="63">
        <v>520758.73333333334</v>
      </c>
      <c r="M11" s="70">
        <f t="shared" si="1"/>
        <v>41643790.239999995</v>
      </c>
      <c r="N11" s="67">
        <f t="shared" si="2"/>
        <v>27.434471089374377</v>
      </c>
      <c r="O11" s="70">
        <f t="shared" si="3"/>
        <v>768308347024</v>
      </c>
      <c r="P11" s="67">
        <f t="shared" si="4"/>
        <v>3527.6164106737638</v>
      </c>
      <c r="Q11" s="70">
        <f t="shared" si="5"/>
        <v>271189658342.93777</v>
      </c>
      <c r="R11">
        <f t="shared" si="6"/>
        <v>33800.523063870634</v>
      </c>
      <c r="S11">
        <f t="shared" si="7"/>
        <v>5656436302.3999996</v>
      </c>
      <c r="T11">
        <f t="shared" si="8"/>
        <v>383279.68619962095</v>
      </c>
      <c r="U11">
        <f t="shared" si="9"/>
        <v>3360560257.9466667</v>
      </c>
      <c r="V11">
        <f t="shared" si="10"/>
        <v>4591092.8039144389</v>
      </c>
      <c r="W11">
        <f t="shared" si="11"/>
        <v>311.09209317022504</v>
      </c>
      <c r="X11">
        <f t="shared" si="12"/>
        <v>2727626.2283433634</v>
      </c>
      <c r="Y11">
        <f t="shared" si="13"/>
        <v>52060514.148627996</v>
      </c>
      <c r="Z11">
        <f t="shared" si="14"/>
        <v>456461694046.13336</v>
      </c>
      <c r="AA11">
        <f t="shared" si="15"/>
        <v>30929809.071113881</v>
      </c>
    </row>
    <row r="12" spans="1:27">
      <c r="A12" s="8" t="s">
        <v>9</v>
      </c>
      <c r="B12" s="16">
        <v>1813.8199999999997</v>
      </c>
      <c r="D12" s="60">
        <f t="shared" si="0"/>
        <v>2894.5733228360373</v>
      </c>
      <c r="E12" s="67">
        <f t="shared" si="16"/>
        <v>-1080.7533228360376</v>
      </c>
      <c r="F12" s="67">
        <f t="shared" si="17"/>
        <v>1168027.7448211364</v>
      </c>
      <c r="H12" s="16">
        <v>4070.2</v>
      </c>
      <c r="I12" s="65">
        <v>5.3026385452002867</v>
      </c>
      <c r="J12" s="16">
        <v>745924.73333333328</v>
      </c>
      <c r="K12" s="65">
        <v>45.274321314000602</v>
      </c>
      <c r="L12" s="63">
        <v>336808.93333333335</v>
      </c>
      <c r="M12" s="70">
        <f t="shared" si="1"/>
        <v>16566528.039999999</v>
      </c>
      <c r="N12" s="67">
        <f t="shared" si="2"/>
        <v>28.117975541043812</v>
      </c>
      <c r="O12" s="70">
        <f t="shared" si="3"/>
        <v>556403707798.40442</v>
      </c>
      <c r="P12" s="67">
        <f t="shared" si="4"/>
        <v>2049.764170443369</v>
      </c>
      <c r="Q12" s="70">
        <f t="shared" si="5"/>
        <v>113440257573.13779</v>
      </c>
      <c r="R12">
        <f t="shared" si="6"/>
        <v>21582.799406674207</v>
      </c>
      <c r="S12">
        <f t="shared" si="7"/>
        <v>3036062849.6133327</v>
      </c>
      <c r="T12">
        <f t="shared" si="8"/>
        <v>184275.54261224525</v>
      </c>
      <c r="U12">
        <f t="shared" si="9"/>
        <v>1370879720.4533334</v>
      </c>
      <c r="V12">
        <f t="shared" si="10"/>
        <v>3955369.2427915782</v>
      </c>
      <c r="W12">
        <f t="shared" si="11"/>
        <v>240.07336130740248</v>
      </c>
      <c r="X12">
        <f t="shared" si="12"/>
        <v>1785976.0322611271</v>
      </c>
      <c r="Y12">
        <f t="shared" si="13"/>
        <v>33771236.052993543</v>
      </c>
      <c r="Z12">
        <f t="shared" si="14"/>
        <v>251234113780.95111</v>
      </c>
      <c r="AA12">
        <f t="shared" si="15"/>
        <v>15248795.869159142</v>
      </c>
    </row>
    <row r="13" spans="1:27">
      <c r="A13" s="8" t="s">
        <v>10</v>
      </c>
      <c r="B13" s="16">
        <v>4040.7400000000002</v>
      </c>
      <c r="D13" s="60">
        <f t="shared" si="0"/>
        <v>2681.8687962577933</v>
      </c>
      <c r="E13" s="67">
        <f t="shared" si="16"/>
        <v>1358.8712037422069</v>
      </c>
      <c r="F13" s="67">
        <f t="shared" si="17"/>
        <v>1846530.9483597944</v>
      </c>
      <c r="H13" s="16">
        <v>1778.5333333333333</v>
      </c>
      <c r="I13" s="65">
        <v>5.4568636100056009</v>
      </c>
      <c r="J13" s="16">
        <v>599845.53333333333</v>
      </c>
      <c r="K13" s="65">
        <v>46.867649109714435</v>
      </c>
      <c r="L13" s="63">
        <v>281357.40000000002</v>
      </c>
      <c r="M13" s="70">
        <f t="shared" si="1"/>
        <v>3163180.8177777776</v>
      </c>
      <c r="N13" s="67">
        <f t="shared" si="2"/>
        <v>29.777360458203358</v>
      </c>
      <c r="O13" s="70">
        <f t="shared" si="3"/>
        <v>359814663859.95111</v>
      </c>
      <c r="P13" s="67">
        <f t="shared" si="4"/>
        <v>2196.5765330713161</v>
      </c>
      <c r="Q13" s="70">
        <f t="shared" si="5"/>
        <v>79161986534.76001</v>
      </c>
      <c r="R13">
        <f t="shared" si="6"/>
        <v>9705.2138258486284</v>
      </c>
      <c r="S13">
        <f t="shared" si="7"/>
        <v>1066845275.8844444</v>
      </c>
      <c r="T13">
        <f t="shared" si="8"/>
        <v>83355.676196597444</v>
      </c>
      <c r="U13">
        <f t="shared" si="9"/>
        <v>500403514.48000002</v>
      </c>
      <c r="V13">
        <f t="shared" si="10"/>
        <v>3273275.2624710682</v>
      </c>
      <c r="W13">
        <f t="shared" si="11"/>
        <v>255.75036891331209</v>
      </c>
      <c r="X13">
        <f t="shared" si="12"/>
        <v>1535328.95746579</v>
      </c>
      <c r="Y13">
        <f t="shared" si="13"/>
        <v>28113349.976296179</v>
      </c>
      <c r="Z13">
        <f t="shared" si="14"/>
        <v>168770979660.28</v>
      </c>
      <c r="AA13">
        <f t="shared" si="15"/>
        <v>13186559.89762157</v>
      </c>
    </row>
    <row r="14" spans="1:27">
      <c r="A14" s="8" t="s">
        <v>68</v>
      </c>
      <c r="B14" s="16">
        <v>874.99333333333334</v>
      </c>
      <c r="D14" s="60">
        <f t="shared" si="0"/>
        <v>811.79424670565277</v>
      </c>
      <c r="E14" s="67">
        <f t="shared" si="16"/>
        <v>63.199086627680572</v>
      </c>
      <c r="F14" s="67">
        <f t="shared" si="17"/>
        <v>3994.1245505730731</v>
      </c>
      <c r="H14" s="16">
        <v>3039.1333333333332</v>
      </c>
      <c r="I14" s="65">
        <v>5.4477931369665571</v>
      </c>
      <c r="J14" s="16">
        <v>2374142.7333333334</v>
      </c>
      <c r="K14" s="65">
        <v>38.418339465399278</v>
      </c>
      <c r="L14" s="63">
        <v>900458</v>
      </c>
      <c r="M14" s="70">
        <f t="shared" si="1"/>
        <v>9236331.4177777767</v>
      </c>
      <c r="N14" s="67">
        <f t="shared" si="2"/>
        <v>29.67845006317992</v>
      </c>
      <c r="O14" s="70">
        <f t="shared" si="3"/>
        <v>5636553718239.4717</v>
      </c>
      <c r="P14" s="67">
        <f t="shared" si="4"/>
        <v>1475.9688072786557</v>
      </c>
      <c r="Q14" s="70">
        <f t="shared" si="5"/>
        <v>810824609764</v>
      </c>
      <c r="R14">
        <f t="shared" si="6"/>
        <v>16556.569715659629</v>
      </c>
      <c r="S14">
        <f t="shared" si="7"/>
        <v>7215336318.9644442</v>
      </c>
      <c r="T14">
        <f t="shared" si="8"/>
        <v>116758.45608061046</v>
      </c>
      <c r="U14">
        <f t="shared" si="9"/>
        <v>2736611923.0666666</v>
      </c>
      <c r="V14">
        <f t="shared" si="10"/>
        <v>12933838.488832356</v>
      </c>
      <c r="W14">
        <f t="shared" si="11"/>
        <v>209.29516607325363</v>
      </c>
      <c r="X14">
        <f t="shared" si="12"/>
        <v>4905508.9125266317</v>
      </c>
      <c r="Y14">
        <f t="shared" si="13"/>
        <v>91210621.468510911</v>
      </c>
      <c r="Z14">
        <f t="shared" si="14"/>
        <v>2137815817371.8667</v>
      </c>
      <c r="AA14">
        <f t="shared" si="15"/>
        <v>34594101.118334502</v>
      </c>
    </row>
    <row r="15" spans="1:27">
      <c r="A15" s="8" t="s">
        <v>11</v>
      </c>
      <c r="B15" s="16">
        <v>2876.4333333333334</v>
      </c>
      <c r="D15" s="60">
        <f t="shared" si="0"/>
        <v>2561.6931164308562</v>
      </c>
      <c r="E15" s="67">
        <f t="shared" si="16"/>
        <v>314.74021690247719</v>
      </c>
      <c r="F15" s="67">
        <f t="shared" si="17"/>
        <v>99061.404135818389</v>
      </c>
      <c r="H15" s="16">
        <v>5027.3999999999996</v>
      </c>
      <c r="I15" s="65">
        <v>5.1106238370324375</v>
      </c>
      <c r="J15" s="16">
        <v>751228.73333333328</v>
      </c>
      <c r="K15" s="65">
        <v>56.515202316615415</v>
      </c>
      <c r="L15" s="63">
        <v>424483.8</v>
      </c>
      <c r="M15" s="70">
        <f t="shared" si="1"/>
        <v>25274750.759999998</v>
      </c>
      <c r="N15" s="67">
        <f t="shared" si="2"/>
        <v>26.118476003644155</v>
      </c>
      <c r="O15" s="70">
        <f t="shared" si="3"/>
        <v>564344609785.60437</v>
      </c>
      <c r="P15" s="67">
        <f t="shared" si="4"/>
        <v>3193.9680928879725</v>
      </c>
      <c r="Q15" s="70">
        <f t="shared" si="5"/>
        <v>180186496462.44</v>
      </c>
      <c r="R15">
        <f t="shared" si="6"/>
        <v>25693.150278296875</v>
      </c>
      <c r="S15">
        <f t="shared" si="7"/>
        <v>3776727333.9599996</v>
      </c>
      <c r="T15">
        <f t="shared" si="8"/>
        <v>284124.52812655229</v>
      </c>
      <c r="U15">
        <f t="shared" si="9"/>
        <v>2134049856.1199999</v>
      </c>
      <c r="V15">
        <f t="shared" si="10"/>
        <v>3839247.4716370176</v>
      </c>
      <c r="W15">
        <f t="shared" si="11"/>
        <v>288.82794011400557</v>
      </c>
      <c r="X15">
        <f t="shared" si="12"/>
        <v>2169377.0267141098</v>
      </c>
      <c r="Y15">
        <f t="shared" si="13"/>
        <v>42455843.850388058</v>
      </c>
      <c r="Z15">
        <f t="shared" si="14"/>
        <v>318884427394.51996</v>
      </c>
      <c r="AA15">
        <f t="shared" si="15"/>
        <v>23989787.837125715</v>
      </c>
    </row>
    <row r="16" spans="1:27">
      <c r="A16" s="8" t="s">
        <v>12</v>
      </c>
      <c r="B16" s="16">
        <v>1808.3200000000002</v>
      </c>
      <c r="D16" s="60">
        <f t="shared" si="0"/>
        <v>2367.061795132483</v>
      </c>
      <c r="E16" s="67">
        <f t="shared" si="16"/>
        <v>-558.74179513248282</v>
      </c>
      <c r="F16" s="67">
        <f t="shared" si="17"/>
        <v>312192.39362786943</v>
      </c>
      <c r="H16" s="16">
        <v>2118.2666666666669</v>
      </c>
      <c r="I16" s="65">
        <v>5.2412656270578806</v>
      </c>
      <c r="J16" s="16">
        <v>574834</v>
      </c>
      <c r="K16" s="65">
        <v>58.157644943256038</v>
      </c>
      <c r="L16" s="63">
        <v>334883.8</v>
      </c>
      <c r="M16" s="70">
        <f t="shared" si="1"/>
        <v>4487053.6711111125</v>
      </c>
      <c r="N16" s="67">
        <f t="shared" si="2"/>
        <v>27.470865373378437</v>
      </c>
      <c r="O16" s="70">
        <f t="shared" si="3"/>
        <v>330434127556</v>
      </c>
      <c r="P16" s="67">
        <f t="shared" si="4"/>
        <v>3382.3116653458346</v>
      </c>
      <c r="Q16" s="70">
        <f t="shared" si="5"/>
        <v>112147159502.43999</v>
      </c>
      <c r="R16">
        <f t="shared" si="6"/>
        <v>11102.398268942474</v>
      </c>
      <c r="S16">
        <f t="shared" si="7"/>
        <v>1217651701.0666668</v>
      </c>
      <c r="T16">
        <f t="shared" si="8"/>
        <v>123193.40069513451</v>
      </c>
      <c r="U16">
        <f t="shared" si="9"/>
        <v>709373190.74666667</v>
      </c>
      <c r="V16">
        <f t="shared" si="10"/>
        <v>3012857.6854641899</v>
      </c>
      <c r="W16">
        <f t="shared" si="11"/>
        <v>304.81966539172441</v>
      </c>
      <c r="X16">
        <f t="shared" si="12"/>
        <v>1755214.9499985259</v>
      </c>
      <c r="Y16">
        <f t="shared" si="13"/>
        <v>33430991.67331164</v>
      </c>
      <c r="Z16">
        <f t="shared" si="14"/>
        <v>192502594289.19998</v>
      </c>
      <c r="AA16">
        <f t="shared" si="15"/>
        <v>19476053.137648366</v>
      </c>
    </row>
    <row r="17" spans="1:27">
      <c r="A17" s="8" t="s">
        <v>13</v>
      </c>
      <c r="B17" s="16">
        <v>2114.98</v>
      </c>
      <c r="D17" s="60">
        <f t="shared" si="0"/>
        <v>2334.0734365999365</v>
      </c>
      <c r="E17" s="67">
        <f t="shared" si="16"/>
        <v>-219.09343659993647</v>
      </c>
      <c r="F17" s="67">
        <f t="shared" si="17"/>
        <v>48001.933961170384</v>
      </c>
      <c r="H17" s="16">
        <v>9941</v>
      </c>
      <c r="I17" s="65">
        <v>5.16164313964883</v>
      </c>
      <c r="J17" s="16">
        <v>1346907.1333333333</v>
      </c>
      <c r="K17" s="65">
        <v>52.781679661544075</v>
      </c>
      <c r="L17" s="63">
        <v>711156.2</v>
      </c>
      <c r="M17" s="70">
        <f t="shared" si="1"/>
        <v>98823481</v>
      </c>
      <c r="N17" s="67">
        <f t="shared" si="2"/>
        <v>26.642559901083832</v>
      </c>
      <c r="O17" s="70">
        <f t="shared" si="3"/>
        <v>1814158825824.2178</v>
      </c>
      <c r="P17" s="67">
        <f t="shared" si="4"/>
        <v>2785.9057078938554</v>
      </c>
      <c r="Q17" s="70">
        <f t="shared" si="5"/>
        <v>505743140798.43994</v>
      </c>
      <c r="R17">
        <f t="shared" si="6"/>
        <v>51311.89445124902</v>
      </c>
      <c r="S17">
        <f t="shared" si="7"/>
        <v>13389603812.466667</v>
      </c>
      <c r="T17">
        <f t="shared" si="8"/>
        <v>524702.67751540965</v>
      </c>
      <c r="U17">
        <f t="shared" si="9"/>
        <v>7069603784.1999998</v>
      </c>
      <c r="V17">
        <f t="shared" si="10"/>
        <v>6952253.9645140721</v>
      </c>
      <c r="W17">
        <f t="shared" si="11"/>
        <v>272.44019472415118</v>
      </c>
      <c r="X17">
        <f t="shared" si="12"/>
        <v>3670734.5209487309</v>
      </c>
      <c r="Y17">
        <f t="shared" si="13"/>
        <v>71092020.845448628</v>
      </c>
      <c r="Z17">
        <f t="shared" si="14"/>
        <v>957861358694.22656</v>
      </c>
      <c r="AA17">
        <f t="shared" si="15"/>
        <v>37536018.737720966</v>
      </c>
    </row>
    <row r="18" spans="1:27">
      <c r="A18" s="8" t="s">
        <v>14</v>
      </c>
      <c r="B18" s="16">
        <v>4993.3399999999992</v>
      </c>
      <c r="D18" s="60">
        <f t="shared" si="0"/>
        <v>3133.5084119193916</v>
      </c>
      <c r="E18" s="67">
        <f t="shared" si="16"/>
        <v>1859.8315880806076</v>
      </c>
      <c r="F18" s="67">
        <f t="shared" si="17"/>
        <v>3458973.5360224349</v>
      </c>
      <c r="H18" s="16">
        <v>11644.466666666667</v>
      </c>
      <c r="I18" s="65">
        <v>5.2080265596771538</v>
      </c>
      <c r="J18" s="16">
        <v>887533.46666666667</v>
      </c>
      <c r="K18" s="65">
        <v>55.443789053287489</v>
      </c>
      <c r="L18" s="63">
        <v>485758.86666666664</v>
      </c>
      <c r="M18" s="70">
        <f t="shared" si="1"/>
        <v>135593603.95111111</v>
      </c>
      <c r="N18" s="67">
        <f t="shared" si="2"/>
        <v>27.123540646302651</v>
      </c>
      <c r="O18" s="70">
        <f t="shared" si="3"/>
        <v>787715654453.35107</v>
      </c>
      <c r="P18" s="67">
        <f t="shared" si="4"/>
        <v>3074.0137445854416</v>
      </c>
      <c r="Q18" s="70">
        <f t="shared" si="5"/>
        <v>235961676545.28442</v>
      </c>
      <c r="R18">
        <f t="shared" si="6"/>
        <v>60644.691673275294</v>
      </c>
      <c r="S18">
        <f t="shared" si="7"/>
        <v>10334853868.151112</v>
      </c>
      <c r="T18">
        <f t="shared" si="8"/>
        <v>645613.35350470443</v>
      </c>
      <c r="U18">
        <f t="shared" si="9"/>
        <v>5656402930.9377775</v>
      </c>
      <c r="V18">
        <f t="shared" si="10"/>
        <v>4622297.8670023382</v>
      </c>
      <c r="W18">
        <f t="shared" si="11"/>
        <v>288.75272595865869</v>
      </c>
      <c r="X18">
        <f t="shared" si="12"/>
        <v>2529845.0791986729</v>
      </c>
      <c r="Y18">
        <f t="shared" si="13"/>
        <v>49208218.303599633</v>
      </c>
      <c r="Z18">
        <f t="shared" si="14"/>
        <v>431127250896.73773</v>
      </c>
      <c r="AA18">
        <f t="shared" si="15"/>
        <v>26932312.13423067</v>
      </c>
    </row>
    <row r="19" spans="1:27">
      <c r="A19" s="8" t="s">
        <v>15</v>
      </c>
      <c r="B19" s="16">
        <v>5325.7800000000007</v>
      </c>
      <c r="D19" s="60">
        <f t="shared" si="0"/>
        <v>5390.3249501212613</v>
      </c>
      <c r="E19" s="67">
        <f t="shared" si="16"/>
        <v>-64.544950121260626</v>
      </c>
      <c r="F19" s="67">
        <f t="shared" si="17"/>
        <v>4166.0505861560223</v>
      </c>
      <c r="H19" s="16">
        <v>42013.066666666666</v>
      </c>
      <c r="I19" s="65">
        <v>5.6835855510577415</v>
      </c>
      <c r="J19" s="16">
        <v>1644614.9333333333</v>
      </c>
      <c r="K19" s="65">
        <v>52.879669160540061</v>
      </c>
      <c r="L19" s="63">
        <v>868974.33333333337</v>
      </c>
      <c r="M19" s="70">
        <f t="shared" si="1"/>
        <v>1765097770.7377777</v>
      </c>
      <c r="N19" s="67">
        <f t="shared" si="2"/>
        <v>32.303144716192328</v>
      </c>
      <c r="O19" s="70">
        <f t="shared" si="3"/>
        <v>2704758278943.0044</v>
      </c>
      <c r="P19" s="67">
        <f t="shared" si="4"/>
        <v>2796.2594105281714</v>
      </c>
      <c r="Q19" s="70">
        <f t="shared" si="5"/>
        <v>755116391992.11121</v>
      </c>
      <c r="R19">
        <f t="shared" si="6"/>
        <v>238784.8586622923</v>
      </c>
      <c r="S19">
        <f t="shared" si="7"/>
        <v>69095316835.128891</v>
      </c>
      <c r="T19">
        <f t="shared" si="8"/>
        <v>2221637.0657530469</v>
      </c>
      <c r="U19">
        <f t="shared" si="9"/>
        <v>36508276597.955559</v>
      </c>
      <c r="V19">
        <f t="shared" si="10"/>
        <v>9347309.672147125</v>
      </c>
      <c r="W19">
        <f t="shared" si="11"/>
        <v>300.54612358555914</v>
      </c>
      <c r="X19">
        <f t="shared" si="12"/>
        <v>4938889.9651733674</v>
      </c>
      <c r="Y19">
        <f t="shared" si="13"/>
        <v>86966693.571150318</v>
      </c>
      <c r="Z19">
        <f t="shared" si="14"/>
        <v>1429128165283.3779</v>
      </c>
      <c r="AA19">
        <f t="shared" si="15"/>
        <v>45951075.25566753</v>
      </c>
    </row>
    <row r="21" spans="1:27">
      <c r="A21" s="69" t="s">
        <v>85</v>
      </c>
      <c r="B21">
        <v>7945.4347550281873</v>
      </c>
    </row>
    <row r="22" spans="1:27">
      <c r="A22" s="69" t="s">
        <v>91</v>
      </c>
      <c r="B22">
        <v>0.11919861281061239</v>
      </c>
    </row>
    <row r="23" spans="1:27">
      <c r="A23" s="69" t="s">
        <v>92</v>
      </c>
      <c r="B23">
        <v>-536.08371592056585</v>
      </c>
    </row>
    <row r="24" spans="1:27">
      <c r="A24" s="69" t="s">
        <v>93</v>
      </c>
      <c r="B24">
        <v>-6.9966959282296388E-4</v>
      </c>
    </row>
    <row r="25" spans="1:27">
      <c r="A25" s="69" t="s">
        <v>94</v>
      </c>
      <c r="B25">
        <v>-34.991618980117501</v>
      </c>
    </row>
    <row r="26" spans="1:27" ht="17" thickBot="1">
      <c r="A26" s="69" t="s">
        <v>95</v>
      </c>
      <c r="B26" s="10">
        <v>-1.7435487512063607E-3</v>
      </c>
    </row>
    <row r="29" spans="1:27">
      <c r="A29" cm="1">
        <f t="array" ref="A29:U33">LINEST(B4:B19,H4:AA19,1,1)</f>
        <v>5.9729998255508333E-4</v>
      </c>
      <c r="B29">
        <v>3.9770312377980942E-7</v>
      </c>
      <c r="C29">
        <v>-2.5449959721736404E-4</v>
      </c>
      <c r="D29">
        <v>-7.0793710807469185E-2</v>
      </c>
      <c r="E29">
        <v>0</v>
      </c>
      <c r="F29">
        <v>3.9578288208667239E-2</v>
      </c>
      <c r="G29">
        <v>1.4889584266555024E-5</v>
      </c>
      <c r="H29">
        <v>1.095488217509818E-3</v>
      </c>
      <c r="I29">
        <v>-7.7102984156403133E-6</v>
      </c>
      <c r="J29">
        <v>-0.71066969729968799</v>
      </c>
      <c r="K29">
        <v>-4.4336732645223049E-7</v>
      </c>
      <c r="L29">
        <v>0</v>
      </c>
      <c r="M29">
        <v>-8.5371563058879081E-8</v>
      </c>
      <c r="N29">
        <v>0</v>
      </c>
      <c r="O29">
        <v>5.2598552115131678E-6</v>
      </c>
      <c r="P29">
        <v>0.31709852674953537</v>
      </c>
      <c r="Q29">
        <v>0</v>
      </c>
      <c r="R29">
        <v>-0.18815422210265245</v>
      </c>
      <c r="S29">
        <v>0</v>
      </c>
      <c r="T29">
        <v>3.6211736334199909</v>
      </c>
      <c r="U29">
        <v>5924.4976559271017</v>
      </c>
    </row>
    <row r="30" spans="1:27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7">
      <c r="A31">
        <v>1</v>
      </c>
      <c r="B31">
        <v>0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</row>
    <row r="32" spans="1:27">
      <c r="A32" t="e">
        <v>#NUM!</v>
      </c>
      <c r="B32">
        <v>0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</row>
    <row r="33" spans="1:21">
      <c r="A33">
        <v>25708404.156166665</v>
      </c>
      <c r="B33">
        <v>0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</row>
    <row r="36" spans="1:21">
      <c r="A36" t="s">
        <v>133</v>
      </c>
      <c r="B36">
        <f>16*A31</f>
        <v>16</v>
      </c>
    </row>
    <row r="37" spans="1:21">
      <c r="A37" t="s">
        <v>134</v>
      </c>
      <c r="B37">
        <f>31.41</f>
        <v>31.41</v>
      </c>
    </row>
    <row r="39" spans="1:21">
      <c r="B39" t="s">
        <v>135</v>
      </c>
      <c r="C39" t="s">
        <v>136</v>
      </c>
    </row>
    <row r="42" spans="1:21">
      <c r="A42">
        <f>_xlfn.VAR.S(E4:E19)</f>
        <v>656184.93309107597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9C48-1704-9D49-A7C1-0B2CA3145878}">
  <dimension ref="A3:M61"/>
  <sheetViews>
    <sheetView workbookViewId="0">
      <selection activeCell="E24" sqref="E24"/>
    </sheetView>
  </sheetViews>
  <sheetFormatPr baseColWidth="10" defaultRowHeight="16"/>
  <cols>
    <col min="9" max="9" width="7.6640625" bestFit="1" customWidth="1"/>
    <col min="10" max="11" width="8.6640625" bestFit="1" customWidth="1"/>
    <col min="12" max="12" width="11.33203125" bestFit="1" customWidth="1"/>
    <col min="13" max="13" width="12.33203125" bestFit="1" customWidth="1"/>
  </cols>
  <sheetData>
    <row r="3" spans="1:13">
      <c r="A3" s="64"/>
      <c r="B3" s="1" t="s">
        <v>76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I3" s="2" t="s">
        <v>77</v>
      </c>
      <c r="J3" s="2" t="s">
        <v>118</v>
      </c>
      <c r="K3" s="2" t="s">
        <v>119</v>
      </c>
      <c r="L3" s="2" t="s">
        <v>87</v>
      </c>
      <c r="M3" s="2" t="s">
        <v>120</v>
      </c>
    </row>
    <row r="4" spans="1:13">
      <c r="A4" s="8" t="s">
        <v>1</v>
      </c>
      <c r="B4" s="16">
        <v>1907.4000000000003</v>
      </c>
      <c r="C4" s="16">
        <v>5166.6000000000004</v>
      </c>
      <c r="D4" s="65">
        <v>5.3082092778058581</v>
      </c>
      <c r="E4" s="16">
        <v>740357</v>
      </c>
      <c r="F4" s="65">
        <v>58.659854289439131</v>
      </c>
      <c r="G4" s="63">
        <v>434199.86666666664</v>
      </c>
      <c r="I4" s="60">
        <f>$B$21+$B$22*C4+$B$23*D4+$B$24*E4+$B$25*F4+$B$26*G4</f>
        <v>2387.9845666857777</v>
      </c>
      <c r="J4" s="67">
        <f>B4-I4</f>
        <v>-480.58456668577742</v>
      </c>
      <c r="L4" s="67">
        <f t="shared" ref="L4:L19" si="0">J4^2</f>
        <v>230961.52573655645</v>
      </c>
    </row>
    <row r="5" spans="1:13">
      <c r="A5" s="8" t="s">
        <v>2</v>
      </c>
      <c r="B5" s="16">
        <v>2582.5333333333333</v>
      </c>
      <c r="C5" s="16">
        <v>6248.8</v>
      </c>
      <c r="D5" s="65">
        <v>5.0717551491695207</v>
      </c>
      <c r="E5" s="16">
        <v>821060.4</v>
      </c>
      <c r="F5" s="65">
        <v>52.012057141546194</v>
      </c>
      <c r="G5" s="63">
        <v>425996.93333333335</v>
      </c>
      <c r="I5" s="60">
        <f t="shared" ref="I5:I19" si="1">$B$21+$B$22*C5+$B$23*D5+$B$24*E5+$B$25*F5+$B$26*G5</f>
        <v>2834.1941974018646</v>
      </c>
      <c r="J5" s="67">
        <f t="shared" ref="J5:J19" si="2">B5-I5</f>
        <v>-251.66086406853128</v>
      </c>
      <c r="K5" s="67">
        <v>-480.58456668577742</v>
      </c>
      <c r="L5" s="67">
        <f t="shared" si="0"/>
        <v>63333.190503719779</v>
      </c>
      <c r="M5" s="67">
        <f>(J5-K5)^2</f>
        <v>52406.061619989348</v>
      </c>
    </row>
    <row r="6" spans="1:13">
      <c r="A6" s="8" t="s">
        <v>3</v>
      </c>
      <c r="B6" s="16">
        <v>1191.0999999999999</v>
      </c>
      <c r="C6" s="16">
        <v>2590.8666666666668</v>
      </c>
      <c r="D6" s="65">
        <v>5.1005678979394506</v>
      </c>
      <c r="E6" s="16">
        <v>1901185.4666666666</v>
      </c>
      <c r="F6" s="65">
        <v>51.201257735567715</v>
      </c>
      <c r="G6" s="63">
        <v>974092.80000000005</v>
      </c>
      <c r="I6" s="60">
        <f t="shared" si="1"/>
        <v>699.73622731108958</v>
      </c>
      <c r="J6" s="67">
        <f t="shared" si="2"/>
        <v>491.36377268891033</v>
      </c>
      <c r="K6" s="67">
        <v>-251.66086406853128</v>
      </c>
      <c r="L6" s="67">
        <f t="shared" si="0"/>
        <v>241438.35711107915</v>
      </c>
      <c r="M6" s="67">
        <f t="shared" ref="M6:M19" si="3">(J6-K6)^2</f>
        <v>552085.61082852806</v>
      </c>
    </row>
    <row r="7" spans="1:13">
      <c r="A7" s="8" t="s">
        <v>4</v>
      </c>
      <c r="B7" s="16">
        <v>3146.1488888888885</v>
      </c>
      <c r="C7" s="16">
        <v>3812.8</v>
      </c>
      <c r="D7" s="65">
        <v>5.1272700068587911</v>
      </c>
      <c r="E7" s="16">
        <v>582669.06666666665</v>
      </c>
      <c r="F7" s="65">
        <v>52.17390431176684</v>
      </c>
      <c r="G7" s="63">
        <v>303734.66666666669</v>
      </c>
      <c r="I7" s="60">
        <f t="shared" si="1"/>
        <v>2888.36786037516</v>
      </c>
      <c r="J7" s="67">
        <f t="shared" si="2"/>
        <v>257.78102851372842</v>
      </c>
      <c r="K7" s="67">
        <v>491.36377268891033</v>
      </c>
      <c r="L7" s="67">
        <f t="shared" si="0"/>
        <v>66451.058661595656</v>
      </c>
      <c r="M7" s="67">
        <f t="shared" si="3"/>
        <v>54560.898376408484</v>
      </c>
    </row>
    <row r="8" spans="1:13">
      <c r="A8" s="8" t="s">
        <v>5</v>
      </c>
      <c r="B8" s="16">
        <v>3321.0733333333333</v>
      </c>
      <c r="C8" s="16">
        <v>8445.7999999999993</v>
      </c>
      <c r="D8" s="65">
        <v>5.2660793678517441</v>
      </c>
      <c r="E8" s="16">
        <v>632635.53333333333</v>
      </c>
      <c r="F8" s="65">
        <v>53.08116827324163</v>
      </c>
      <c r="G8" s="63">
        <v>335477.33333333331</v>
      </c>
      <c r="I8" s="60">
        <f t="shared" si="1"/>
        <v>3244.1500564126527</v>
      </c>
      <c r="J8" s="67">
        <f t="shared" si="2"/>
        <v>76.923276920680564</v>
      </c>
      <c r="K8" s="67">
        <v>257.78102851372842</v>
      </c>
      <c r="L8" s="67">
        <f t="shared" si="0"/>
        <v>5917.1905322157072</v>
      </c>
      <c r="M8" s="67">
        <f t="shared" si="3"/>
        <v>32709.526311292604</v>
      </c>
    </row>
    <row r="9" spans="1:13">
      <c r="A9" s="8" t="s">
        <v>6</v>
      </c>
      <c r="B9" s="16">
        <v>1070.3933333333332</v>
      </c>
      <c r="C9" s="16">
        <v>8099.6</v>
      </c>
      <c r="D9" s="65">
        <v>5.2744020564440524</v>
      </c>
      <c r="E9" s="16">
        <v>1091768.2</v>
      </c>
      <c r="F9" s="65">
        <v>50.991659258009854</v>
      </c>
      <c r="G9" s="63">
        <v>554854.93333333335</v>
      </c>
      <c r="I9" s="60">
        <f t="shared" si="1"/>
        <v>2567.8004356860783</v>
      </c>
      <c r="J9" s="67">
        <f t="shared" si="2"/>
        <v>-1497.4071023527451</v>
      </c>
      <c r="K9" s="67">
        <v>76.923276920680564</v>
      </c>
      <c r="L9" s="67">
        <f t="shared" si="0"/>
        <v>2242228.0301764444</v>
      </c>
      <c r="M9" s="67">
        <f t="shared" si="3"/>
        <v>2478516.1431032084</v>
      </c>
    </row>
    <row r="10" spans="1:13">
      <c r="A10" s="8" t="s">
        <v>7</v>
      </c>
      <c r="B10" s="16">
        <v>2855.5600000000004</v>
      </c>
      <c r="C10" s="16">
        <v>13834.266666666666</v>
      </c>
      <c r="D10" s="65">
        <v>5.0477448468016402</v>
      </c>
      <c r="E10" s="16">
        <v>1351016.7333333334</v>
      </c>
      <c r="F10" s="65">
        <v>51.912820218070557</v>
      </c>
      <c r="G10" s="63">
        <v>701409.1333333333</v>
      </c>
      <c r="I10" s="60">
        <f t="shared" si="1"/>
        <v>2903.7263649841589</v>
      </c>
      <c r="J10" s="67">
        <f t="shared" si="2"/>
        <v>-48.166364984158463</v>
      </c>
      <c r="K10" s="67">
        <v>-1497.4071023527451</v>
      </c>
      <c r="L10" s="67">
        <f t="shared" si="0"/>
        <v>2319.9987157871665</v>
      </c>
      <c r="M10" s="67">
        <f t="shared" si="3"/>
        <v>2100298.714848645</v>
      </c>
    </row>
    <row r="11" spans="1:13">
      <c r="A11" s="8" t="s">
        <v>8</v>
      </c>
      <c r="B11" s="16">
        <v>2085.46</v>
      </c>
      <c r="C11" s="16">
        <v>6453.2</v>
      </c>
      <c r="D11" s="65">
        <v>5.237792577925779</v>
      </c>
      <c r="E11" s="16">
        <v>876532</v>
      </c>
      <c r="F11" s="65">
        <v>59.393740500778058</v>
      </c>
      <c r="G11" s="63">
        <v>520758.73333333334</v>
      </c>
      <c r="I11" s="60">
        <f t="shared" si="1"/>
        <v>2307.2177706953826</v>
      </c>
      <c r="J11" s="67">
        <f t="shared" si="2"/>
        <v>-221.75777069538253</v>
      </c>
      <c r="K11" s="67">
        <v>-48.166364984158463</v>
      </c>
      <c r="L11" s="67">
        <f t="shared" si="0"/>
        <v>49176.508863785857</v>
      </c>
      <c r="M11" s="67">
        <f t="shared" si="3"/>
        <v>30133.976136798796</v>
      </c>
    </row>
    <row r="12" spans="1:13">
      <c r="A12" s="8" t="s">
        <v>9</v>
      </c>
      <c r="B12" s="16">
        <v>1813.8199999999997</v>
      </c>
      <c r="C12" s="16">
        <v>4070.2</v>
      </c>
      <c r="D12" s="65">
        <v>5.3026385452002867</v>
      </c>
      <c r="E12" s="16">
        <v>745924.73333333328</v>
      </c>
      <c r="F12" s="65">
        <v>45.274321314000602</v>
      </c>
      <c r="G12" s="63">
        <v>336808.93333333335</v>
      </c>
      <c r="I12" s="60">
        <f t="shared" si="1"/>
        <v>2894.5733228360373</v>
      </c>
      <c r="J12" s="67">
        <f t="shared" si="2"/>
        <v>-1080.7533228360376</v>
      </c>
      <c r="K12" s="67">
        <v>-221.75777069538253</v>
      </c>
      <c r="L12" s="67">
        <f t="shared" si="0"/>
        <v>1168027.7448211364</v>
      </c>
      <c r="M12" s="67">
        <f t="shared" si="3"/>
        <v>737873.35859742877</v>
      </c>
    </row>
    <row r="13" spans="1:13">
      <c r="A13" s="8" t="s">
        <v>10</v>
      </c>
      <c r="B13" s="16">
        <v>4040.7400000000002</v>
      </c>
      <c r="C13" s="16">
        <v>1778.5333333333333</v>
      </c>
      <c r="D13" s="65">
        <v>5.4568636100056009</v>
      </c>
      <c r="E13" s="16">
        <v>599845.53333333333</v>
      </c>
      <c r="F13" s="65">
        <v>46.867649109714435</v>
      </c>
      <c r="G13" s="63">
        <v>281357.40000000002</v>
      </c>
      <c r="I13" s="60">
        <f t="shared" si="1"/>
        <v>2681.8687962577933</v>
      </c>
      <c r="J13" s="67">
        <f t="shared" si="2"/>
        <v>1358.8712037422069</v>
      </c>
      <c r="K13" s="67">
        <v>-1080.7533228360376</v>
      </c>
      <c r="L13" s="67">
        <f t="shared" si="0"/>
        <v>1846530.9483597944</v>
      </c>
      <c r="M13" s="67">
        <f t="shared" si="3"/>
        <v>5951767.830682124</v>
      </c>
    </row>
    <row r="14" spans="1:13">
      <c r="A14" s="8" t="s">
        <v>68</v>
      </c>
      <c r="B14" s="16">
        <v>874.99333333333334</v>
      </c>
      <c r="C14" s="16">
        <v>3039.1333333333332</v>
      </c>
      <c r="D14" s="65">
        <v>5.4477931369665571</v>
      </c>
      <c r="E14" s="16">
        <v>2374142.7333333334</v>
      </c>
      <c r="F14" s="65">
        <v>38.418339465399278</v>
      </c>
      <c r="G14" s="63">
        <v>900458</v>
      </c>
      <c r="I14" s="60">
        <f t="shared" si="1"/>
        <v>811.79424670565277</v>
      </c>
      <c r="J14" s="67">
        <f t="shared" si="2"/>
        <v>63.199086627680572</v>
      </c>
      <c r="K14" s="67">
        <v>1358.8712037422069</v>
      </c>
      <c r="L14" s="67">
        <f t="shared" si="0"/>
        <v>3994.1245505730731</v>
      </c>
      <c r="M14" s="67">
        <f t="shared" si="3"/>
        <v>1678766.235068039</v>
      </c>
    </row>
    <row r="15" spans="1:13">
      <c r="A15" s="8" t="s">
        <v>11</v>
      </c>
      <c r="B15" s="16">
        <v>2876.4333333333334</v>
      </c>
      <c r="C15" s="16">
        <v>5027.3999999999996</v>
      </c>
      <c r="D15" s="65">
        <v>5.1106238370324375</v>
      </c>
      <c r="E15" s="16">
        <v>751228.73333333328</v>
      </c>
      <c r="F15" s="65">
        <v>56.515202316615415</v>
      </c>
      <c r="G15" s="63">
        <v>424483.8</v>
      </c>
      <c r="I15" s="60">
        <f t="shared" si="1"/>
        <v>2561.6931164308562</v>
      </c>
      <c r="J15" s="67">
        <f t="shared" si="2"/>
        <v>314.74021690247719</v>
      </c>
      <c r="K15" s="67">
        <v>63.199086627680572</v>
      </c>
      <c r="L15" s="67">
        <f t="shared" si="0"/>
        <v>99061.404135818389</v>
      </c>
      <c r="M15" s="67">
        <f t="shared" si="3"/>
        <v>63272.940219922202</v>
      </c>
    </row>
    <row r="16" spans="1:13">
      <c r="A16" s="8" t="s">
        <v>12</v>
      </c>
      <c r="B16" s="16">
        <v>1808.3200000000002</v>
      </c>
      <c r="C16" s="16">
        <v>2118.2666666666669</v>
      </c>
      <c r="D16" s="65">
        <v>5.2412656270578806</v>
      </c>
      <c r="E16" s="16">
        <v>574834</v>
      </c>
      <c r="F16" s="65">
        <v>58.157644943256038</v>
      </c>
      <c r="G16" s="63">
        <v>334883.8</v>
      </c>
      <c r="I16" s="60">
        <f t="shared" si="1"/>
        <v>2367.061795132483</v>
      </c>
      <c r="J16" s="67">
        <f t="shared" si="2"/>
        <v>-558.74179513248282</v>
      </c>
      <c r="K16" s="67">
        <v>314.74021690247719</v>
      </c>
      <c r="L16" s="67">
        <f t="shared" si="0"/>
        <v>312192.39362786943</v>
      </c>
      <c r="M16" s="67">
        <f t="shared" si="3"/>
        <v>762970.82534864207</v>
      </c>
    </row>
    <row r="17" spans="1:13">
      <c r="A17" s="8" t="s">
        <v>13</v>
      </c>
      <c r="B17" s="16">
        <v>2114.98</v>
      </c>
      <c r="C17" s="16">
        <v>9941</v>
      </c>
      <c r="D17" s="65">
        <v>5.16164313964883</v>
      </c>
      <c r="E17" s="16">
        <v>1346907.1333333333</v>
      </c>
      <c r="F17" s="65">
        <v>52.781679661544075</v>
      </c>
      <c r="G17" s="63">
        <v>711156.2</v>
      </c>
      <c r="I17" s="60">
        <f t="shared" si="1"/>
        <v>2334.0734365999365</v>
      </c>
      <c r="J17" s="67">
        <f t="shared" si="2"/>
        <v>-219.09343659993647</v>
      </c>
      <c r="K17" s="67">
        <v>-558.74179513248282</v>
      </c>
      <c r="L17" s="67">
        <f t="shared" si="0"/>
        <v>48001.933961170384</v>
      </c>
      <c r="M17" s="67">
        <f t="shared" si="3"/>
        <v>115361.00745385315</v>
      </c>
    </row>
    <row r="18" spans="1:13">
      <c r="A18" s="8" t="s">
        <v>14</v>
      </c>
      <c r="B18" s="16">
        <v>4993.3399999999992</v>
      </c>
      <c r="C18" s="16">
        <v>11644.466666666667</v>
      </c>
      <c r="D18" s="65">
        <v>5.2080265596771538</v>
      </c>
      <c r="E18" s="16">
        <v>887533.46666666667</v>
      </c>
      <c r="F18" s="65">
        <v>55.443789053287489</v>
      </c>
      <c r="G18" s="63">
        <v>485758.86666666664</v>
      </c>
      <c r="I18" s="60">
        <f t="shared" si="1"/>
        <v>3133.5084119193916</v>
      </c>
      <c r="J18" s="67">
        <f t="shared" si="2"/>
        <v>1859.8315880806076</v>
      </c>
      <c r="K18" s="67">
        <v>-219.09343659993647</v>
      </c>
      <c r="L18" s="67">
        <f t="shared" si="0"/>
        <v>3458973.5360224349</v>
      </c>
      <c r="M18" s="67">
        <f t="shared" si="3"/>
        <v>4321929.2582430011</v>
      </c>
    </row>
    <row r="19" spans="1:13">
      <c r="A19" s="8" t="s">
        <v>15</v>
      </c>
      <c r="B19" s="16">
        <v>5325.7800000000007</v>
      </c>
      <c r="C19" s="16">
        <v>42013.066666666666</v>
      </c>
      <c r="D19" s="65">
        <v>5.6835855510577415</v>
      </c>
      <c r="E19" s="16">
        <v>1644614.9333333333</v>
      </c>
      <c r="F19" s="65">
        <v>52.879669160540061</v>
      </c>
      <c r="G19" s="63">
        <v>868974.33333333337</v>
      </c>
      <c r="I19" s="60">
        <f t="shared" si="1"/>
        <v>5390.3249501212613</v>
      </c>
      <c r="J19" s="67">
        <f t="shared" si="2"/>
        <v>-64.544950121260626</v>
      </c>
      <c r="K19" s="67">
        <v>1859.8315880806076</v>
      </c>
      <c r="L19" s="67">
        <f t="shared" si="0"/>
        <v>4166.0505861560223</v>
      </c>
      <c r="M19" s="67">
        <f t="shared" si="3"/>
        <v>3703225.0607818062</v>
      </c>
    </row>
    <row r="20" spans="1:13">
      <c r="J20" s="67">
        <f>SUM(J4:J19)</f>
        <v>-2.0463630789890885E-11</v>
      </c>
      <c r="K20" s="67">
        <f t="shared" ref="K20:M20" si="4">SUM(K4:K19)</f>
        <v>64.544950121240163</v>
      </c>
      <c r="L20" s="67">
        <f t="shared" si="4"/>
        <v>9842773.9963661395</v>
      </c>
      <c r="M20" s="67">
        <f t="shared" si="4"/>
        <v>22635877.447619688</v>
      </c>
    </row>
    <row r="21" spans="1:13">
      <c r="A21" s="69" t="s">
        <v>85</v>
      </c>
      <c r="B21">
        <v>7945.4347550281873</v>
      </c>
      <c r="D21" t="s">
        <v>121</v>
      </c>
      <c r="E21" s="66">
        <f>M20/L20</f>
        <v>2.2997457277772142</v>
      </c>
    </row>
    <row r="22" spans="1:13">
      <c r="A22" s="69" t="s">
        <v>91</v>
      </c>
      <c r="B22">
        <v>0.11919861281061239</v>
      </c>
      <c r="D22" t="s">
        <v>122</v>
      </c>
      <c r="E22" s="71">
        <v>0.74</v>
      </c>
    </row>
    <row r="23" spans="1:13">
      <c r="A23" s="69" t="s">
        <v>92</v>
      </c>
      <c r="B23">
        <v>-536.08371592056585</v>
      </c>
      <c r="D23" t="s">
        <v>123</v>
      </c>
      <c r="E23" s="71">
        <v>1.93</v>
      </c>
    </row>
    <row r="24" spans="1:13">
      <c r="A24" s="69" t="s">
        <v>93</v>
      </c>
      <c r="B24">
        <v>-6.9966959282296388E-4</v>
      </c>
    </row>
    <row r="25" spans="1:13">
      <c r="A25" s="69" t="s">
        <v>94</v>
      </c>
      <c r="B25">
        <v>-34.991618980117501</v>
      </c>
      <c r="D25">
        <v>0</v>
      </c>
      <c r="E25" s="67">
        <f>E22</f>
        <v>0.74</v>
      </c>
      <c r="F25" t="s">
        <v>124</v>
      </c>
    </row>
    <row r="26" spans="1:13" ht="17" thickBot="1">
      <c r="A26" s="69" t="s">
        <v>95</v>
      </c>
      <c r="B26" s="10">
        <v>-1.7435487512063607E-3</v>
      </c>
      <c r="D26" s="67">
        <f>E22</f>
        <v>0.74</v>
      </c>
      <c r="E26" s="67">
        <f>E23</f>
        <v>1.93</v>
      </c>
      <c r="F26" t="s">
        <v>125</v>
      </c>
    </row>
    <row r="27" spans="1:13">
      <c r="D27" s="67">
        <f>E23</f>
        <v>1.93</v>
      </c>
      <c r="E27" s="67">
        <f>4-E23</f>
        <v>2.0700000000000003</v>
      </c>
      <c r="F27" t="s">
        <v>126</v>
      </c>
    </row>
    <row r="28" spans="1:13">
      <c r="D28" s="67">
        <f>4-E23</f>
        <v>2.0700000000000003</v>
      </c>
      <c r="E28" s="67">
        <f>4-E22</f>
        <v>3.26</v>
      </c>
      <c r="F28" s="72" t="s">
        <v>127</v>
      </c>
    </row>
    <row r="29" spans="1:13">
      <c r="D29" s="67">
        <f>4-E22</f>
        <v>3.26</v>
      </c>
      <c r="E29">
        <f>4</f>
        <v>4</v>
      </c>
      <c r="F29" s="72" t="s">
        <v>128</v>
      </c>
    </row>
    <row r="31" spans="1:13">
      <c r="A31" cm="1">
        <f t="array" ref="A31:B35">LINEST(J5:J19,K5:K19,1,1)</f>
        <v>-0.1621003194146208</v>
      </c>
      <c r="B31">
        <v>32.736488247800708</v>
      </c>
    </row>
    <row r="32" spans="1:13">
      <c r="A32">
        <v>0.27020425870238945</v>
      </c>
      <c r="B32">
        <v>218.83328894051638</v>
      </c>
    </row>
    <row r="33" spans="1:2">
      <c r="A33">
        <v>2.6938915848484849E-2</v>
      </c>
      <c r="B33">
        <v>847.5257208935559</v>
      </c>
    </row>
    <row r="34" spans="1:2">
      <c r="A34">
        <v>0.35990125567057674</v>
      </c>
      <c r="B34">
        <v>13</v>
      </c>
    </row>
    <row r="35" spans="1:2">
      <c r="A35">
        <v>258517.01709063724</v>
      </c>
      <c r="B35">
        <v>9337898.0184898414</v>
      </c>
    </row>
    <row r="37" spans="1:2">
      <c r="A37" t="s">
        <v>129</v>
      </c>
    </row>
    <row r="39" spans="1:2">
      <c r="A39" t="s">
        <v>19</v>
      </c>
    </row>
    <row r="40" spans="1:2" ht="17" thickBot="1"/>
    <row r="41" spans="1:2">
      <c r="A41" s="12" t="s">
        <v>20</v>
      </c>
      <c r="B41" s="12"/>
    </row>
    <row r="42" spans="1:2">
      <c r="A42" t="s">
        <v>21</v>
      </c>
      <c r="B42">
        <v>0.16413078884988291</v>
      </c>
    </row>
    <row r="43" spans="1:2">
      <c r="A43" t="s">
        <v>22</v>
      </c>
      <c r="B43">
        <v>2.6938915848484849E-2</v>
      </c>
    </row>
    <row r="44" spans="1:2">
      <c r="A44" t="s">
        <v>23</v>
      </c>
      <c r="B44">
        <v>-4.7911936778554778E-2</v>
      </c>
    </row>
    <row r="45" spans="1:2">
      <c r="A45" t="s">
        <v>24</v>
      </c>
      <c r="B45">
        <v>847.5257208935559</v>
      </c>
    </row>
    <row r="46" spans="1:2" ht="17" thickBot="1">
      <c r="A46" s="10" t="s">
        <v>25</v>
      </c>
      <c r="B46" s="10">
        <v>15</v>
      </c>
    </row>
    <row r="48" spans="1:2" ht="17" thickBot="1">
      <c r="A48" t="s">
        <v>26</v>
      </c>
    </row>
    <row r="49" spans="1:9">
      <c r="A49" s="11"/>
      <c r="B49" s="11" t="s">
        <v>31</v>
      </c>
      <c r="C49" s="11" t="s">
        <v>32</v>
      </c>
      <c r="D49" s="11" t="s">
        <v>33</v>
      </c>
      <c r="E49" s="11" t="s">
        <v>34</v>
      </c>
      <c r="F49" s="11" t="s">
        <v>35</v>
      </c>
    </row>
    <row r="50" spans="1:9">
      <c r="A50" t="s">
        <v>27</v>
      </c>
      <c r="B50">
        <v>1</v>
      </c>
      <c r="C50">
        <v>258517.01709063724</v>
      </c>
      <c r="D50">
        <v>258517.01709063724</v>
      </c>
      <c r="E50">
        <v>0.35990125567057674</v>
      </c>
      <c r="F50">
        <v>0.55887355607056388</v>
      </c>
    </row>
    <row r="51" spans="1:9">
      <c r="A51" t="s">
        <v>28</v>
      </c>
      <c r="B51">
        <v>13</v>
      </c>
      <c r="C51">
        <v>9337898.0184898414</v>
      </c>
      <c r="D51">
        <v>718299.84757614159</v>
      </c>
    </row>
    <row r="52" spans="1:9" ht="17" thickBot="1">
      <c r="A52" s="10" t="s">
        <v>29</v>
      </c>
      <c r="B52" s="10">
        <v>14</v>
      </c>
      <c r="C52" s="10">
        <v>9596415.0355804786</v>
      </c>
      <c r="D52" s="10"/>
      <c r="E52" s="10"/>
      <c r="F52" s="10"/>
    </row>
    <row r="53" spans="1:9" ht="17" thickBot="1"/>
    <row r="54" spans="1:9">
      <c r="A54" s="11"/>
      <c r="B54" s="11" t="s">
        <v>36</v>
      </c>
      <c r="C54" s="11" t="s">
        <v>24</v>
      </c>
      <c r="D54" s="11" t="s">
        <v>37</v>
      </c>
      <c r="E54" s="11" t="s">
        <v>38</v>
      </c>
      <c r="F54" s="11" t="s">
        <v>39</v>
      </c>
      <c r="G54" s="11" t="s">
        <v>40</v>
      </c>
      <c r="H54" s="11" t="s">
        <v>41</v>
      </c>
      <c r="I54" s="11" t="s">
        <v>42</v>
      </c>
    </row>
    <row r="55" spans="1:9">
      <c r="A55" t="s">
        <v>30</v>
      </c>
      <c r="B55">
        <v>32.736488247800708</v>
      </c>
      <c r="C55">
        <v>218.83328894051638</v>
      </c>
      <c r="D55">
        <v>0.14959555927845691</v>
      </c>
      <c r="E55">
        <v>0.88337963790566265</v>
      </c>
      <c r="F55">
        <v>-440.02409016995676</v>
      </c>
      <c r="G55">
        <v>505.49706666555818</v>
      </c>
      <c r="H55">
        <v>-440.02409016995676</v>
      </c>
      <c r="I55">
        <v>505.49706666555818</v>
      </c>
    </row>
    <row r="56" spans="1:9" ht="17" thickBot="1">
      <c r="A56" s="10" t="s">
        <v>43</v>
      </c>
      <c r="B56" s="10">
        <v>-0.1621003194146208</v>
      </c>
      <c r="C56" s="10">
        <v>0.27020425870238945</v>
      </c>
      <c r="D56" s="10">
        <v>-0.59991770741542105</v>
      </c>
      <c r="E56" s="10">
        <v>0.55887355607056488</v>
      </c>
      <c r="F56" s="10">
        <v>-0.74584113075802672</v>
      </c>
      <c r="G56" s="10">
        <v>0.42164049192878517</v>
      </c>
      <c r="H56" s="10">
        <v>-0.74584113075802672</v>
      </c>
      <c r="I56" s="10">
        <v>0.42164049192878517</v>
      </c>
    </row>
    <row r="58" spans="1:9">
      <c r="A58" t="s">
        <v>117</v>
      </c>
      <c r="B58">
        <v>2.1440000000000001</v>
      </c>
    </row>
    <row r="60" spans="1:9">
      <c r="A60" t="s">
        <v>130</v>
      </c>
    </row>
    <row r="61" spans="1:9">
      <c r="A61" t="s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8AEC-1FED-D248-8330-107BAD075DB2}">
  <dimension ref="A2:U124"/>
  <sheetViews>
    <sheetView topLeftCell="A14" zoomScale="93" zoomScaleNormal="180" workbookViewId="0">
      <selection activeCell="B4" sqref="B4:G19"/>
    </sheetView>
  </sheetViews>
  <sheetFormatPr baseColWidth="10" defaultRowHeight="16"/>
  <sheetData>
    <row r="2" spans="1:15" ht="17" thickBot="1"/>
    <row r="3" spans="1:15">
      <c r="A3" s="64"/>
      <c r="B3" s="1" t="s">
        <v>76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I3" s="11"/>
      <c r="J3" s="11" t="s">
        <v>76</v>
      </c>
      <c r="K3" s="11" t="s">
        <v>71</v>
      </c>
      <c r="L3" s="11" t="s">
        <v>72</v>
      </c>
      <c r="M3" s="11" t="s">
        <v>73</v>
      </c>
      <c r="N3" s="11" t="s">
        <v>74</v>
      </c>
      <c r="O3" s="11" t="s">
        <v>75</v>
      </c>
    </row>
    <row r="4" spans="1:15">
      <c r="A4" s="8" t="s">
        <v>1</v>
      </c>
      <c r="B4" s="16">
        <v>1907.4000000000003</v>
      </c>
      <c r="C4" s="16">
        <v>5166.6000000000004</v>
      </c>
      <c r="D4" s="65">
        <v>5.3082092778058581</v>
      </c>
      <c r="E4" s="16">
        <v>740357</v>
      </c>
      <c r="F4" s="65">
        <v>58.659854289439131</v>
      </c>
      <c r="G4" s="63">
        <v>434199.86666666664</v>
      </c>
      <c r="I4" t="s">
        <v>76</v>
      </c>
      <c r="J4">
        <v>1</v>
      </c>
    </row>
    <row r="5" spans="1:15">
      <c r="A5" s="8" t="s">
        <v>2</v>
      </c>
      <c r="B5" s="16">
        <v>2582.5333333333333</v>
      </c>
      <c r="C5" s="16">
        <v>6248.8</v>
      </c>
      <c r="D5" s="65">
        <v>5.0717551491695207</v>
      </c>
      <c r="E5" s="16">
        <v>821060.4</v>
      </c>
      <c r="F5" s="65">
        <v>52.012057141546194</v>
      </c>
      <c r="G5" s="63">
        <v>425996.93333333335</v>
      </c>
      <c r="I5" t="s">
        <v>71</v>
      </c>
      <c r="J5">
        <v>0.61739690287668225</v>
      </c>
      <c r="K5">
        <v>1</v>
      </c>
    </row>
    <row r="6" spans="1:15">
      <c r="A6" s="8" t="s">
        <v>3</v>
      </c>
      <c r="B6" s="16">
        <v>1191.0999999999999</v>
      </c>
      <c r="C6" s="16">
        <v>2590.8666666666668</v>
      </c>
      <c r="D6" s="65">
        <v>5.1005678979394506</v>
      </c>
      <c r="E6" s="16">
        <v>1901185.4666666666</v>
      </c>
      <c r="F6" s="65">
        <v>51.201257735567715</v>
      </c>
      <c r="G6" s="63">
        <v>974092.80000000005</v>
      </c>
      <c r="I6" t="s">
        <v>72</v>
      </c>
      <c r="J6">
        <v>0.31862345250143009</v>
      </c>
      <c r="K6">
        <v>0.52899188569439337</v>
      </c>
      <c r="L6">
        <v>1</v>
      </c>
    </row>
    <row r="7" spans="1:15">
      <c r="A7" s="8" t="s">
        <v>4</v>
      </c>
      <c r="B7" s="16">
        <v>3146.1488888888885</v>
      </c>
      <c r="C7" s="16">
        <v>3812.8</v>
      </c>
      <c r="D7" s="65">
        <v>5.1272700068587911</v>
      </c>
      <c r="E7" s="16">
        <v>582669.06666666665</v>
      </c>
      <c r="F7" s="65">
        <v>52.17390431176684</v>
      </c>
      <c r="G7" s="63">
        <v>303734.66666666669</v>
      </c>
      <c r="I7" t="s">
        <v>73</v>
      </c>
      <c r="J7">
        <v>-0.26405772772371294</v>
      </c>
      <c r="K7">
        <v>0.28414137202892581</v>
      </c>
      <c r="L7">
        <v>0.24539064442631098</v>
      </c>
      <c r="M7">
        <v>1</v>
      </c>
    </row>
    <row r="8" spans="1:15">
      <c r="A8" s="8" t="s">
        <v>5</v>
      </c>
      <c r="B8" s="16">
        <v>3321.0733333333333</v>
      </c>
      <c r="C8" s="16">
        <v>8445.7999999999993</v>
      </c>
      <c r="D8" s="65">
        <v>5.2660793678517441</v>
      </c>
      <c r="E8" s="16">
        <v>632635.53333333333</v>
      </c>
      <c r="F8" s="65">
        <v>53.08116827324163</v>
      </c>
      <c r="G8" s="63">
        <v>335477.33333333331</v>
      </c>
      <c r="I8" t="s">
        <v>74</v>
      </c>
      <c r="J8">
        <v>0.21875863900947343</v>
      </c>
      <c r="K8">
        <v>0.11894458249060656</v>
      </c>
      <c r="L8">
        <v>-0.31635728799810098</v>
      </c>
      <c r="M8">
        <v>-0.52597976764438448</v>
      </c>
      <c r="N8">
        <v>1</v>
      </c>
    </row>
    <row r="9" spans="1:15" ht="17" thickBot="1">
      <c r="A9" s="8" t="s">
        <v>6</v>
      </c>
      <c r="B9" s="16">
        <v>1070.3933333333332</v>
      </c>
      <c r="C9" s="16">
        <v>8099.6</v>
      </c>
      <c r="D9" s="65">
        <v>5.2744020564440524</v>
      </c>
      <c r="E9" s="16">
        <v>1091768.2</v>
      </c>
      <c r="F9" s="65">
        <v>50.991659258009854</v>
      </c>
      <c r="G9" s="63">
        <v>554854.93333333335</v>
      </c>
      <c r="I9" s="10" t="s">
        <v>75</v>
      </c>
      <c r="J9" s="10">
        <v>-0.18052397408511098</v>
      </c>
      <c r="K9" s="10">
        <v>0.41373480813985969</v>
      </c>
      <c r="L9" s="10">
        <v>0.17281501444402955</v>
      </c>
      <c r="M9" s="10">
        <v>0.95371822981179233</v>
      </c>
      <c r="N9" s="10">
        <v>-0.28749483397131886</v>
      </c>
      <c r="O9" s="10">
        <v>1</v>
      </c>
    </row>
    <row r="10" spans="1:15">
      <c r="A10" s="8" t="s">
        <v>7</v>
      </c>
      <c r="B10" s="16">
        <v>2855.5600000000004</v>
      </c>
      <c r="C10" s="16">
        <v>13834.266666666666</v>
      </c>
      <c r="D10" s="65">
        <v>5.0477448468016402</v>
      </c>
      <c r="E10" s="16">
        <v>1351016.7333333334</v>
      </c>
      <c r="F10" s="65">
        <v>51.912820218070557</v>
      </c>
      <c r="G10" s="63">
        <v>701409.1333333333</v>
      </c>
    </row>
    <row r="11" spans="1:15">
      <c r="A11" s="8" t="s">
        <v>8</v>
      </c>
      <c r="B11" s="16">
        <v>2085.46</v>
      </c>
      <c r="C11" s="16">
        <v>6453.2</v>
      </c>
      <c r="D11" s="65">
        <v>5.237792577925779</v>
      </c>
      <c r="E11" s="16">
        <v>876532</v>
      </c>
      <c r="F11" s="65">
        <v>59.393740500778058</v>
      </c>
      <c r="G11" s="63">
        <v>520758.73333333334</v>
      </c>
    </row>
    <row r="12" spans="1:15">
      <c r="A12" s="8" t="s">
        <v>9</v>
      </c>
      <c r="B12" s="16">
        <v>1813.8199999999997</v>
      </c>
      <c r="C12" s="16">
        <v>4070.2</v>
      </c>
      <c r="D12" s="65">
        <v>5.3026385452002867</v>
      </c>
      <c r="E12" s="16">
        <v>745924.73333333328</v>
      </c>
      <c r="F12" s="65">
        <v>45.274321314000602</v>
      </c>
      <c r="G12" s="63">
        <v>336808.93333333335</v>
      </c>
    </row>
    <row r="13" spans="1:15">
      <c r="A13" s="8" t="s">
        <v>10</v>
      </c>
      <c r="B13" s="16">
        <v>4040.7400000000002</v>
      </c>
      <c r="C13" s="16">
        <v>1778.5333333333333</v>
      </c>
      <c r="D13" s="65">
        <v>5.4568636100056009</v>
      </c>
      <c r="E13" s="16">
        <v>599845.53333333333</v>
      </c>
      <c r="F13" s="65">
        <v>46.867649109714435</v>
      </c>
      <c r="G13" s="63">
        <v>281357.40000000002</v>
      </c>
    </row>
    <row r="14" spans="1:15">
      <c r="A14" s="8" t="s">
        <v>68</v>
      </c>
      <c r="B14" s="16">
        <v>874.99333333333334</v>
      </c>
      <c r="C14" s="16">
        <v>3039.1333333333332</v>
      </c>
      <c r="D14" s="65">
        <v>5.4477931369665571</v>
      </c>
      <c r="E14" s="16">
        <v>2374142.7333333334</v>
      </c>
      <c r="F14" s="65">
        <v>38.418339465399278</v>
      </c>
      <c r="G14" s="63">
        <v>900458</v>
      </c>
    </row>
    <row r="15" spans="1:15">
      <c r="A15" s="8" t="s">
        <v>11</v>
      </c>
      <c r="B15" s="16">
        <v>2876.4333333333334</v>
      </c>
      <c r="C15" s="16">
        <v>5027.3999999999996</v>
      </c>
      <c r="D15" s="65">
        <v>5.1106238370324375</v>
      </c>
      <c r="E15" s="16">
        <v>751228.73333333328</v>
      </c>
      <c r="F15" s="65">
        <v>56.515202316615415</v>
      </c>
      <c r="G15" s="63">
        <v>424483.8</v>
      </c>
    </row>
    <row r="16" spans="1:15">
      <c r="A16" s="8" t="s">
        <v>12</v>
      </c>
      <c r="B16" s="16">
        <v>1808.3200000000002</v>
      </c>
      <c r="C16" s="16">
        <v>2118.2666666666669</v>
      </c>
      <c r="D16" s="65">
        <v>5.2412656270578806</v>
      </c>
      <c r="E16" s="16">
        <v>574834</v>
      </c>
      <c r="F16" s="65">
        <v>58.157644943256038</v>
      </c>
      <c r="G16" s="63">
        <v>334883.8</v>
      </c>
    </row>
    <row r="17" spans="1:14">
      <c r="A17" s="8" t="s">
        <v>13</v>
      </c>
      <c r="B17" s="16">
        <v>2114.98</v>
      </c>
      <c r="C17" s="16">
        <v>9941</v>
      </c>
      <c r="D17" s="65">
        <v>5.16164313964883</v>
      </c>
      <c r="E17" s="16">
        <v>1346907.1333333333</v>
      </c>
      <c r="F17" s="65">
        <v>52.781679661544075</v>
      </c>
      <c r="G17" s="63">
        <v>711156.2</v>
      </c>
    </row>
    <row r="18" spans="1:14">
      <c r="A18" s="8" t="s">
        <v>14</v>
      </c>
      <c r="B18" s="16">
        <v>4993.3399999999992</v>
      </c>
      <c r="C18" s="16">
        <v>11644.466666666667</v>
      </c>
      <c r="D18" s="65">
        <v>5.2080265596771538</v>
      </c>
      <c r="E18" s="16">
        <v>887533.46666666667</v>
      </c>
      <c r="F18" s="65">
        <v>55.443789053287489</v>
      </c>
      <c r="G18" s="63">
        <v>485758.86666666664</v>
      </c>
    </row>
    <row r="19" spans="1:14">
      <c r="A19" s="8" t="s">
        <v>15</v>
      </c>
      <c r="B19" s="16">
        <v>5325.7800000000007</v>
      </c>
      <c r="C19" s="16">
        <v>42013.066666666666</v>
      </c>
      <c r="D19" s="65">
        <v>5.6835855510577415</v>
      </c>
      <c r="E19" s="16">
        <v>1644614.9333333333</v>
      </c>
      <c r="F19" s="65">
        <v>52.879669160540061</v>
      </c>
      <c r="G19" s="63">
        <v>868974.33333333337</v>
      </c>
    </row>
    <row r="21" spans="1:14" ht="17" thickBot="1"/>
    <row r="22" spans="1:14">
      <c r="A22" s="64"/>
      <c r="B22" s="1" t="s">
        <v>76</v>
      </c>
      <c r="C22" s="2" t="s">
        <v>71</v>
      </c>
      <c r="D22" s="2" t="s">
        <v>72</v>
      </c>
      <c r="E22" s="2" t="s">
        <v>74</v>
      </c>
      <c r="F22" s="2" t="s">
        <v>75</v>
      </c>
      <c r="H22" s="11" t="s">
        <v>113</v>
      </c>
      <c r="I22" s="11"/>
      <c r="J22" s="11" t="s">
        <v>76</v>
      </c>
      <c r="K22" s="11" t="s">
        <v>71</v>
      </c>
      <c r="L22" s="11" t="s">
        <v>72</v>
      </c>
      <c r="M22" s="11" t="s">
        <v>74</v>
      </c>
      <c r="N22" s="11" t="s">
        <v>75</v>
      </c>
    </row>
    <row r="23" spans="1:14">
      <c r="A23" s="8" t="s">
        <v>1</v>
      </c>
      <c r="B23" s="16">
        <v>1907.4000000000003</v>
      </c>
      <c r="C23" s="16">
        <v>5166.6000000000004</v>
      </c>
      <c r="D23" s="65">
        <v>5.3082092778058581</v>
      </c>
      <c r="E23" s="65">
        <v>58.659854289439131</v>
      </c>
      <c r="F23" s="63">
        <v>434199.86666666664</v>
      </c>
      <c r="G23">
        <f>$B$57+$B$58*C23+$B$59*D23+$B$60*E23+$B$62*F23</f>
        <v>3811.1879953289704</v>
      </c>
      <c r="H23">
        <v>2399.3404412495061</v>
      </c>
      <c r="I23" t="s">
        <v>76</v>
      </c>
      <c r="J23">
        <v>1</v>
      </c>
    </row>
    <row r="24" spans="1:14">
      <c r="A24" s="8" t="s">
        <v>2</v>
      </c>
      <c r="B24" s="16">
        <v>2582.5333333333333</v>
      </c>
      <c r="C24" s="16">
        <v>6248.8</v>
      </c>
      <c r="D24" s="65">
        <v>5.0717551491695207</v>
      </c>
      <c r="E24" s="65">
        <v>52.012057141546194</v>
      </c>
      <c r="F24" s="63">
        <v>425996.93333333335</v>
      </c>
      <c r="G24">
        <f t="shared" ref="G24:G38" si="0">$B$57+$B$58*C24+$B$59*D24+$B$60*E24+$B$62*F24</f>
        <v>4238.1651547431265</v>
      </c>
      <c r="H24">
        <v>2852.9903204225434</v>
      </c>
      <c r="I24" t="s">
        <v>71</v>
      </c>
      <c r="J24">
        <v>0.61739690287668225</v>
      </c>
      <c r="K24">
        <v>1</v>
      </c>
    </row>
    <row r="25" spans="1:14">
      <c r="A25" s="8" t="s">
        <v>3</v>
      </c>
      <c r="B25" s="16">
        <v>1191.0999999999999</v>
      </c>
      <c r="C25" s="16">
        <v>2590.8666666666668</v>
      </c>
      <c r="D25" s="65">
        <v>5.1005678979394506</v>
      </c>
      <c r="E25" s="65">
        <v>51.201257735567715</v>
      </c>
      <c r="F25" s="63">
        <v>974092.80000000005</v>
      </c>
      <c r="G25">
        <f t="shared" si="0"/>
        <v>3782.4461591614427</v>
      </c>
      <c r="H25">
        <v>615.07868002261011</v>
      </c>
      <c r="I25" t="s">
        <v>72</v>
      </c>
      <c r="J25">
        <v>0.31862345250143009</v>
      </c>
      <c r="K25">
        <v>0.52899188569439337</v>
      </c>
      <c r="L25">
        <v>1</v>
      </c>
    </row>
    <row r="26" spans="1:14">
      <c r="A26" s="8" t="s">
        <v>4</v>
      </c>
      <c r="B26" s="16">
        <v>3146.1488888888885</v>
      </c>
      <c r="C26" s="16">
        <v>3812.8</v>
      </c>
      <c r="D26" s="65">
        <v>5.1272700068587911</v>
      </c>
      <c r="E26" s="65">
        <v>52.17390431176684</v>
      </c>
      <c r="F26" s="63">
        <v>303734.66666666669</v>
      </c>
      <c r="G26">
        <f t="shared" si="0"/>
        <v>3895.7776780060744</v>
      </c>
      <c r="H26">
        <v>2908.1517500790087</v>
      </c>
      <c r="I26" t="s">
        <v>74</v>
      </c>
      <c r="J26">
        <v>0.21875863900947343</v>
      </c>
      <c r="K26">
        <v>0.11894458249060656</v>
      </c>
      <c r="L26">
        <v>-0.31635728799810098</v>
      </c>
      <c r="M26">
        <v>1</v>
      </c>
    </row>
    <row r="27" spans="1:14" ht="17" thickBot="1">
      <c r="A27" s="8" t="s">
        <v>5</v>
      </c>
      <c r="B27" s="16">
        <v>3321.0733333333333</v>
      </c>
      <c r="C27" s="16">
        <v>8445.7999999999993</v>
      </c>
      <c r="D27" s="65">
        <v>5.2660793678517441</v>
      </c>
      <c r="E27" s="65">
        <v>53.08116827324163</v>
      </c>
      <c r="F27" s="63">
        <v>335477.33333333331</v>
      </c>
      <c r="G27">
        <f t="shared" si="0"/>
        <v>4353.0924483850122</v>
      </c>
      <c r="H27">
        <v>3262.2518266411512</v>
      </c>
      <c r="I27" s="10" t="s">
        <v>75</v>
      </c>
      <c r="J27" s="10">
        <v>-0.18052397408511098</v>
      </c>
      <c r="K27" s="10">
        <v>0.41373480813985969</v>
      </c>
      <c r="L27" s="10">
        <v>0.17281501444402955</v>
      </c>
      <c r="M27" s="10">
        <v>-0.28749483397131886</v>
      </c>
      <c r="N27" s="10">
        <v>1</v>
      </c>
    </row>
    <row r="28" spans="1:14">
      <c r="A28" s="8" t="s">
        <v>6</v>
      </c>
      <c r="B28" s="16">
        <v>1070.3933333333332</v>
      </c>
      <c r="C28" s="16">
        <v>8099.6</v>
      </c>
      <c r="D28" s="65">
        <v>5.2744020564440524</v>
      </c>
      <c r="E28" s="65">
        <v>50.991659258009854</v>
      </c>
      <c r="F28" s="63">
        <v>554854.93333333335</v>
      </c>
      <c r="G28">
        <f t="shared" si="0"/>
        <v>4345.0064858339219</v>
      </c>
      <c r="H28">
        <v>2540.8360089761268</v>
      </c>
    </row>
    <row r="29" spans="1:14">
      <c r="A29" s="8" t="s">
        <v>7</v>
      </c>
      <c r="B29" s="16">
        <v>2855.5600000000004</v>
      </c>
      <c r="C29" s="16">
        <v>13834.266666666666</v>
      </c>
      <c r="D29" s="65">
        <v>5.0477448468016402</v>
      </c>
      <c r="E29" s="65">
        <v>51.912820218070557</v>
      </c>
      <c r="F29" s="63">
        <v>701409.1333333333</v>
      </c>
      <c r="G29">
        <f t="shared" si="0"/>
        <v>5192.7317647977061</v>
      </c>
      <c r="H29">
        <v>2912.0245483077038</v>
      </c>
    </row>
    <row r="30" spans="1:14">
      <c r="A30" s="8" t="s">
        <v>8</v>
      </c>
      <c r="B30" s="16">
        <v>2085.46</v>
      </c>
      <c r="C30" s="16">
        <v>6453.2</v>
      </c>
      <c r="D30" s="65">
        <v>5.237792577925779</v>
      </c>
      <c r="E30" s="65">
        <v>59.393740500778058</v>
      </c>
      <c r="F30" s="63">
        <v>520758.73333333334</v>
      </c>
      <c r="G30">
        <f t="shared" si="0"/>
        <v>4004.8160667386001</v>
      </c>
      <c r="H30">
        <v>2311.51305039608</v>
      </c>
    </row>
    <row r="31" spans="1:14">
      <c r="A31" s="8" t="s">
        <v>9</v>
      </c>
      <c r="B31" s="16">
        <v>1813.8199999999997</v>
      </c>
      <c r="C31" s="16">
        <v>4070.2</v>
      </c>
      <c r="D31" s="65">
        <v>5.3026385452002867</v>
      </c>
      <c r="E31" s="65">
        <v>45.274321314000602</v>
      </c>
      <c r="F31" s="63">
        <v>336808.93333333335</v>
      </c>
      <c r="G31">
        <f t="shared" si="0"/>
        <v>3938.7944695450356</v>
      </c>
      <c r="H31">
        <v>2843.6240072200508</v>
      </c>
    </row>
    <row r="32" spans="1:14">
      <c r="A32" s="8" t="s">
        <v>10</v>
      </c>
      <c r="B32" s="16">
        <v>4040.7400000000002</v>
      </c>
      <c r="C32" s="16">
        <v>1778.5333333333333</v>
      </c>
      <c r="D32" s="65">
        <v>5.4568636100056009</v>
      </c>
      <c r="E32" s="65">
        <v>46.867649109714435</v>
      </c>
      <c r="F32" s="63">
        <v>281357.40000000002</v>
      </c>
      <c r="G32">
        <f t="shared" si="0"/>
        <v>3517.7097853937762</v>
      </c>
      <c r="H32">
        <v>2602.8459461630005</v>
      </c>
    </row>
    <row r="33" spans="1:21">
      <c r="A33" s="8" t="s">
        <v>68</v>
      </c>
      <c r="B33" s="16">
        <v>874.99333333333334</v>
      </c>
      <c r="C33" s="16">
        <v>3039.1333333333332</v>
      </c>
      <c r="D33" s="65">
        <v>5.4477931369665571</v>
      </c>
      <c r="E33" s="65">
        <v>38.418339465399278</v>
      </c>
      <c r="F33" s="63">
        <v>900458</v>
      </c>
      <c r="G33">
        <f t="shared" si="0"/>
        <v>3843.0551290008061</v>
      </c>
      <c r="H33">
        <v>915.1191196899947</v>
      </c>
      <c r="M33" t="s">
        <v>19</v>
      </c>
    </row>
    <row r="34" spans="1:21" ht="17" thickBot="1">
      <c r="A34" s="8" t="s">
        <v>11</v>
      </c>
      <c r="B34" s="16">
        <v>2876.4333333333334</v>
      </c>
      <c r="C34" s="16">
        <v>5027.3999999999996</v>
      </c>
      <c r="D34" s="65">
        <v>5.1106238370324375</v>
      </c>
      <c r="E34" s="65">
        <v>56.515202316615415</v>
      </c>
      <c r="F34" s="63">
        <v>424483.8</v>
      </c>
      <c r="G34">
        <f t="shared" si="0"/>
        <v>3973.2402275903696</v>
      </c>
      <c r="H34">
        <v>2592.9855090037304</v>
      </c>
    </row>
    <row r="35" spans="1:21">
      <c r="A35" s="8" t="s">
        <v>12</v>
      </c>
      <c r="B35" s="16">
        <v>1808.3200000000002</v>
      </c>
      <c r="C35" s="16">
        <v>2118.2666666666669</v>
      </c>
      <c r="D35" s="65">
        <v>5.2412656270578806</v>
      </c>
      <c r="E35" s="65">
        <v>58.157644943256038</v>
      </c>
      <c r="F35" s="63">
        <v>334883.8</v>
      </c>
      <c r="G35">
        <f t="shared" si="0"/>
        <v>3491.4600174388979</v>
      </c>
      <c r="H35">
        <v>2402.5493331484149</v>
      </c>
      <c r="M35" s="12" t="s">
        <v>20</v>
      </c>
      <c r="N35" s="12"/>
    </row>
    <row r="36" spans="1:21">
      <c r="A36" s="8" t="s">
        <v>13</v>
      </c>
      <c r="B36" s="16">
        <v>2114.98</v>
      </c>
      <c r="C36" s="16">
        <v>9941</v>
      </c>
      <c r="D36" s="65">
        <v>5.16164313964883</v>
      </c>
      <c r="E36" s="65">
        <v>52.781679661544075</v>
      </c>
      <c r="F36" s="63">
        <v>711156.2</v>
      </c>
      <c r="G36">
        <f t="shared" si="0"/>
        <v>4616.1667587168613</v>
      </c>
      <c r="H36">
        <v>2303.76590690074</v>
      </c>
      <c r="M36" t="s">
        <v>21</v>
      </c>
      <c r="N36">
        <v>0.78476888741596196</v>
      </c>
    </row>
    <row r="37" spans="1:21">
      <c r="A37" s="8" t="s">
        <v>14</v>
      </c>
      <c r="B37" s="16">
        <v>4993.3399999999992</v>
      </c>
      <c r="C37" s="16">
        <v>11644.466666666667</v>
      </c>
      <c r="D37" s="65">
        <v>5.2080265596771538</v>
      </c>
      <c r="E37" s="65">
        <v>55.443789053287489</v>
      </c>
      <c r="F37" s="63">
        <v>485758.86666666664</v>
      </c>
      <c r="G37">
        <f t="shared" si="0"/>
        <v>4742.5019222330102</v>
      </c>
      <c r="H37">
        <v>3163.0047357397571</v>
      </c>
      <c r="M37" t="s">
        <v>22</v>
      </c>
      <c r="N37">
        <v>0.61586220665608682</v>
      </c>
    </row>
    <row r="38" spans="1:21" ht="17" thickBot="1">
      <c r="A38" s="8" t="s">
        <v>15</v>
      </c>
      <c r="B38" s="16">
        <v>5325.7800000000007</v>
      </c>
      <c r="C38" s="16">
        <v>42013.066666666666</v>
      </c>
      <c r="D38" s="65">
        <v>5.6835855510577415</v>
      </c>
      <c r="E38" s="65">
        <v>52.879669160540061</v>
      </c>
      <c r="F38" s="63">
        <v>868974.33333333337</v>
      </c>
      <c r="G38">
        <f t="shared" si="0"/>
        <v>8207.5578534383039</v>
      </c>
      <c r="H38" s="10">
        <v>5381.9943715951495</v>
      </c>
      <c r="M38" t="s">
        <v>23</v>
      </c>
      <c r="N38">
        <v>0.47617573634920929</v>
      </c>
    </row>
    <row r="39" spans="1:21">
      <c r="M39" t="s">
        <v>24</v>
      </c>
      <c r="N39">
        <v>947.51203604460636</v>
      </c>
    </row>
    <row r="40" spans="1:21" ht="17" thickBot="1">
      <c r="M40" s="10" t="s">
        <v>25</v>
      </c>
      <c r="N40" s="10">
        <v>16</v>
      </c>
    </row>
    <row r="41" spans="1:21">
      <c r="A41" t="s">
        <v>19</v>
      </c>
    </row>
    <row r="42" spans="1:21" ht="17" thickBot="1">
      <c r="M42" t="s">
        <v>26</v>
      </c>
    </row>
    <row r="43" spans="1:21">
      <c r="A43" s="12" t="s">
        <v>20</v>
      </c>
      <c r="B43" s="12"/>
      <c r="M43" s="11"/>
      <c r="N43" s="11" t="s">
        <v>31</v>
      </c>
      <c r="O43" s="11" t="s">
        <v>32</v>
      </c>
      <c r="P43" s="11" t="s">
        <v>33</v>
      </c>
      <c r="Q43" s="11" t="s">
        <v>34</v>
      </c>
      <c r="R43" s="11" t="s">
        <v>35</v>
      </c>
    </row>
    <row r="44" spans="1:21">
      <c r="A44" t="s">
        <v>21</v>
      </c>
      <c r="B44">
        <v>0.78476888741596196</v>
      </c>
      <c r="M44" t="s">
        <v>27</v>
      </c>
      <c r="N44">
        <v>4</v>
      </c>
      <c r="O44">
        <v>15832834.513223315</v>
      </c>
      <c r="P44">
        <v>3958208.6283058287</v>
      </c>
      <c r="Q44">
        <v>4.4088894601109017</v>
      </c>
      <c r="R44">
        <v>2.2744181334362779E-2</v>
      </c>
    </row>
    <row r="45" spans="1:21">
      <c r="A45" t="s">
        <v>22</v>
      </c>
      <c r="B45">
        <v>0.61586220665608682</v>
      </c>
      <c r="M45" t="s">
        <v>28</v>
      </c>
      <c r="N45">
        <v>11</v>
      </c>
      <c r="O45">
        <v>9875569.6429433506</v>
      </c>
      <c r="P45">
        <v>897779.05844939547</v>
      </c>
    </row>
    <row r="46" spans="1:21" ht="17" thickBot="1">
      <c r="A46" t="s">
        <v>23</v>
      </c>
      <c r="B46">
        <v>0.47617573634920929</v>
      </c>
      <c r="M46" s="10" t="s">
        <v>29</v>
      </c>
      <c r="N46" s="10">
        <v>15</v>
      </c>
      <c r="O46" s="10">
        <v>25708404.156166665</v>
      </c>
      <c r="P46" s="10"/>
      <c r="Q46" s="10"/>
      <c r="R46" s="10"/>
    </row>
    <row r="47" spans="1:21" ht="17" thickBot="1">
      <c r="A47" t="s">
        <v>24</v>
      </c>
      <c r="B47">
        <v>947.51203604460636</v>
      </c>
    </row>
    <row r="48" spans="1:21" ht="17" thickBot="1">
      <c r="A48" s="10" t="s">
        <v>25</v>
      </c>
      <c r="B48" s="10">
        <v>16</v>
      </c>
      <c r="M48" s="11"/>
      <c r="N48" s="11" t="s">
        <v>36</v>
      </c>
      <c r="O48" s="11" t="s">
        <v>24</v>
      </c>
      <c r="P48" s="11" t="s">
        <v>37</v>
      </c>
      <c r="Q48" s="11" t="s">
        <v>38</v>
      </c>
      <c r="R48" s="11" t="s">
        <v>39</v>
      </c>
      <c r="S48" s="11" t="s">
        <v>40</v>
      </c>
      <c r="T48" s="11" t="s">
        <v>41</v>
      </c>
      <c r="U48" s="11" t="s">
        <v>42</v>
      </c>
    </row>
    <row r="49" spans="1:21">
      <c r="M49" t="s">
        <v>30</v>
      </c>
      <c r="N49">
        <v>8008.9056952577648</v>
      </c>
      <c r="O49">
        <v>12451.878551026895</v>
      </c>
      <c r="P49">
        <v>0.64318854881517273</v>
      </c>
      <c r="Q49">
        <v>0.53328042783449958</v>
      </c>
      <c r="R49">
        <v>-19397.494210815803</v>
      </c>
      <c r="S49">
        <v>35415.305601331333</v>
      </c>
      <c r="T49">
        <v>-19397.494210815803</v>
      </c>
      <c r="U49">
        <v>35415.305601331333</v>
      </c>
    </row>
    <row r="50" spans="1:21" ht="17" thickBot="1">
      <c r="A50" t="s">
        <v>26</v>
      </c>
      <c r="M50" t="s">
        <v>71</v>
      </c>
      <c r="N50">
        <v>0.12338195889451087</v>
      </c>
      <c r="O50">
        <v>3.7643039327305838E-2</v>
      </c>
      <c r="P50">
        <v>3.2776832343877977</v>
      </c>
      <c r="Q50">
        <v>7.3640072822302692E-3</v>
      </c>
      <c r="R50">
        <v>4.0530187954364791E-2</v>
      </c>
      <c r="S50">
        <v>0.20623372983465696</v>
      </c>
      <c r="T50">
        <v>4.0530187954364791E-2</v>
      </c>
      <c r="U50">
        <v>0.20623372983465696</v>
      </c>
    </row>
    <row r="51" spans="1:21">
      <c r="A51" s="11"/>
      <c r="B51" s="11" t="s">
        <v>31</v>
      </c>
      <c r="C51" s="11" t="s">
        <v>32</v>
      </c>
      <c r="D51" s="11" t="s">
        <v>33</v>
      </c>
      <c r="E51" s="11" t="s">
        <v>34</v>
      </c>
      <c r="F51" s="11" t="s">
        <v>35</v>
      </c>
      <c r="M51" t="s">
        <v>72</v>
      </c>
      <c r="N51">
        <v>-697.06406390177369</v>
      </c>
      <c r="O51">
        <v>2015.6883171845732</v>
      </c>
      <c r="P51">
        <v>-0.34581936996856877</v>
      </c>
      <c r="Q51">
        <v>0.73600179879004124</v>
      </c>
      <c r="R51">
        <v>-5133.5641373951066</v>
      </c>
      <c r="S51">
        <v>3739.436009591559</v>
      </c>
      <c r="T51">
        <v>-5133.5641373951066</v>
      </c>
      <c r="U51">
        <v>3739.436009591559</v>
      </c>
    </row>
    <row r="52" spans="1:21">
      <c r="A52" t="s">
        <v>27</v>
      </c>
      <c r="B52">
        <v>4</v>
      </c>
      <c r="C52">
        <v>15832834.513223315</v>
      </c>
      <c r="D52">
        <v>3958208.6283058287</v>
      </c>
      <c r="E52">
        <v>4.4088894601109017</v>
      </c>
      <c r="F52">
        <v>2.2744181334362779E-2</v>
      </c>
      <c r="H52" t="s">
        <v>137</v>
      </c>
      <c r="I52">
        <v>3.36</v>
      </c>
      <c r="M52" t="s">
        <v>74</v>
      </c>
      <c r="N52">
        <v>-19.349195651327545</v>
      </c>
      <c r="O52">
        <v>57.738895268793293</v>
      </c>
      <c r="P52">
        <v>-0.33511544620399752</v>
      </c>
      <c r="Q52">
        <v>0.74384166016472197</v>
      </c>
      <c r="R52">
        <v>-146.43164729802689</v>
      </c>
      <c r="S52">
        <v>107.73325599537181</v>
      </c>
      <c r="T52">
        <v>-146.43164729802689</v>
      </c>
      <c r="U52">
        <v>107.73325599537181</v>
      </c>
    </row>
    <row r="53" spans="1:21" ht="17" thickBot="1">
      <c r="A53" t="s">
        <v>28</v>
      </c>
      <c r="B53">
        <v>11</v>
      </c>
      <c r="C53">
        <v>9875569.6429433506</v>
      </c>
      <c r="D53">
        <v>897779.05844939547</v>
      </c>
      <c r="H53" t="s">
        <v>138</v>
      </c>
      <c r="I53" t="s">
        <v>139</v>
      </c>
      <c r="M53" s="10" t="s">
        <v>75</v>
      </c>
      <c r="N53" s="10">
        <v>-3.2516075256267493E-3</v>
      </c>
      <c r="O53" s="10">
        <v>1.3283172650464963E-3</v>
      </c>
      <c r="P53" s="10">
        <v>-2.4479148251625942</v>
      </c>
      <c r="Q53" s="10">
        <v>3.2365266691211932E-2</v>
      </c>
      <c r="R53" s="10">
        <v>-6.1752141138875991E-3</v>
      </c>
      <c r="S53" s="10">
        <v>-3.2800093736589931E-4</v>
      </c>
      <c r="T53" s="10">
        <v>-6.1752141138875991E-3</v>
      </c>
      <c r="U53" s="10">
        <v>-3.2800093736589931E-4</v>
      </c>
    </row>
    <row r="54" spans="1:21" ht="17" thickBot="1">
      <c r="A54" s="10" t="s">
        <v>29</v>
      </c>
      <c r="B54" s="10">
        <v>15</v>
      </c>
      <c r="C54" s="10">
        <v>25708404.156166665</v>
      </c>
      <c r="D54" s="10"/>
      <c r="E54" s="10"/>
      <c r="F54" s="10"/>
    </row>
    <row r="55" spans="1:21" ht="17" thickBot="1"/>
    <row r="56" spans="1:21">
      <c r="A56" s="11"/>
      <c r="B56" s="11" t="s">
        <v>36</v>
      </c>
      <c r="C56" s="11" t="s">
        <v>24</v>
      </c>
      <c r="D56" s="11" t="s">
        <v>37</v>
      </c>
      <c r="E56" s="11" t="s">
        <v>38</v>
      </c>
      <c r="F56" s="11" t="s">
        <v>39</v>
      </c>
      <c r="G56" s="11" t="s">
        <v>40</v>
      </c>
      <c r="H56" s="11" t="s">
        <v>41</v>
      </c>
      <c r="I56" s="11" t="s">
        <v>42</v>
      </c>
    </row>
    <row r="57" spans="1:21">
      <c r="A57" t="s">
        <v>30</v>
      </c>
      <c r="B57">
        <v>8008.9056952577648</v>
      </c>
      <c r="C57">
        <v>12451.878551026895</v>
      </c>
      <c r="D57">
        <v>0.64318854881517273</v>
      </c>
      <c r="E57">
        <v>0.53328042783449958</v>
      </c>
      <c r="F57">
        <v>-19397.494210815803</v>
      </c>
      <c r="G57">
        <v>35415.305601331333</v>
      </c>
      <c r="H57">
        <v>-19397.494210815803</v>
      </c>
      <c r="I57">
        <v>35415.305601331333</v>
      </c>
      <c r="M57" t="s">
        <v>111</v>
      </c>
    </row>
    <row r="58" spans="1:21" ht="17" thickBot="1">
      <c r="A58" t="s">
        <v>71</v>
      </c>
      <c r="B58">
        <v>0.12338195889451087</v>
      </c>
      <c r="C58">
        <v>3.7643039327305838E-2</v>
      </c>
      <c r="D58">
        <v>3.2776832343877977</v>
      </c>
      <c r="E58">
        <v>7.3640072822302692E-3</v>
      </c>
      <c r="F58">
        <v>4.0530187954364791E-2</v>
      </c>
      <c r="G58">
        <v>0.20623372983465696</v>
      </c>
      <c r="H58">
        <v>4.0530187954364791E-2</v>
      </c>
      <c r="I58">
        <v>0.20623372983465696</v>
      </c>
    </row>
    <row r="59" spans="1:21">
      <c r="A59" t="s">
        <v>72</v>
      </c>
      <c r="B59">
        <v>-697.06406390177369</v>
      </c>
      <c r="C59">
        <v>2015.6883171845732</v>
      </c>
      <c r="D59">
        <v>-0.34581936996856877</v>
      </c>
      <c r="E59">
        <v>0.73600179879004124</v>
      </c>
      <c r="F59">
        <v>-5133.5641373951066</v>
      </c>
      <c r="G59">
        <v>3739.436009591559</v>
      </c>
      <c r="H59">
        <v>-5133.5641373951066</v>
      </c>
      <c r="I59">
        <v>3739.436009591559</v>
      </c>
      <c r="M59" s="11" t="s">
        <v>112</v>
      </c>
      <c r="N59" s="11" t="s">
        <v>113</v>
      </c>
      <c r="O59" s="11" t="s">
        <v>114</v>
      </c>
      <c r="P59" s="11" t="s">
        <v>157</v>
      </c>
    </row>
    <row r="60" spans="1:21">
      <c r="A60" t="s">
        <v>74</v>
      </c>
      <c r="B60">
        <v>-19.349195651327545</v>
      </c>
      <c r="C60">
        <v>57.738895268793293</v>
      </c>
      <c r="D60">
        <v>-0.33511544620399752</v>
      </c>
      <c r="E60">
        <v>0.74384166016472197</v>
      </c>
      <c r="F60">
        <v>-146.43164729802689</v>
      </c>
      <c r="G60">
        <v>107.73325599537181</v>
      </c>
      <c r="H60">
        <v>-146.43164729802689</v>
      </c>
      <c r="I60">
        <v>107.73325599537181</v>
      </c>
      <c r="M60">
        <v>1</v>
      </c>
      <c r="N60">
        <v>2399.3404412495061</v>
      </c>
      <c r="O60">
        <v>-491.94044124950574</v>
      </c>
      <c r="P60">
        <v>-0.60628535501537062</v>
      </c>
    </row>
    <row r="61" spans="1:21" ht="17" thickBot="1">
      <c r="A61" s="10" t="s">
        <v>75</v>
      </c>
      <c r="B61" s="10">
        <v>-3.2516075256267493E-3</v>
      </c>
      <c r="C61" s="10">
        <v>1.3283172650464963E-3</v>
      </c>
      <c r="D61" s="10">
        <v>-2.4479148251625942</v>
      </c>
      <c r="E61" s="10">
        <v>3.2365266691211932E-2</v>
      </c>
      <c r="F61" s="10">
        <v>-6.1752141138875991E-3</v>
      </c>
      <c r="G61" s="10">
        <v>-3.2800093736589931E-4</v>
      </c>
      <c r="H61" s="10">
        <v>-6.1752141138875991E-3</v>
      </c>
      <c r="I61" s="10">
        <v>-3.2800093736589931E-4</v>
      </c>
      <c r="M61">
        <v>2</v>
      </c>
      <c r="N61">
        <v>2852.9903204225434</v>
      </c>
      <c r="O61">
        <v>-270.45698708921009</v>
      </c>
      <c r="P61">
        <v>-0.33332106223526303</v>
      </c>
    </row>
    <row r="62" spans="1:21">
      <c r="M62">
        <v>3</v>
      </c>
      <c r="N62">
        <v>615.07868002261011</v>
      </c>
      <c r="O62">
        <v>576.02131997738979</v>
      </c>
      <c r="P62">
        <v>0.70990969880800603</v>
      </c>
    </row>
    <row r="63" spans="1:21">
      <c r="C63" t="s">
        <v>140</v>
      </c>
      <c r="D63">
        <v>2.2000000000000002</v>
      </c>
      <c r="M63">
        <v>4</v>
      </c>
      <c r="N63">
        <v>2908.1517500790087</v>
      </c>
      <c r="O63">
        <v>237.99713880987974</v>
      </c>
      <c r="P63">
        <v>0.29331636047138127</v>
      </c>
    </row>
    <row r="64" spans="1:21">
      <c r="M64">
        <v>5</v>
      </c>
      <c r="N64">
        <v>3262.2518266411512</v>
      </c>
      <c r="O64">
        <v>58.821506692182083</v>
      </c>
      <c r="P64">
        <v>7.2493771759904985E-2</v>
      </c>
    </row>
    <row r="65" spans="1:16">
      <c r="A65" t="s">
        <v>111</v>
      </c>
      <c r="M65">
        <v>6</v>
      </c>
      <c r="N65">
        <v>2540.8360089761268</v>
      </c>
      <c r="O65">
        <v>-1470.4426756427936</v>
      </c>
      <c r="P65">
        <v>-1.8122272228065948</v>
      </c>
    </row>
    <row r="66" spans="1:16" ht="17" thickBot="1">
      <c r="M66">
        <v>7</v>
      </c>
      <c r="N66">
        <v>2912.0245483077038</v>
      </c>
      <c r="O66">
        <v>-56.464548307703353</v>
      </c>
      <c r="P66">
        <v>-6.9588970220798796E-2</v>
      </c>
    </row>
    <row r="67" spans="1:16">
      <c r="A67" s="11" t="s">
        <v>112</v>
      </c>
      <c r="B67" s="11" t="s">
        <v>113</v>
      </c>
      <c r="C67" s="11" t="s">
        <v>114</v>
      </c>
      <c r="M67">
        <v>8</v>
      </c>
      <c r="N67">
        <v>2311.51305039608</v>
      </c>
      <c r="O67">
        <v>-226.05305039607993</v>
      </c>
      <c r="P67">
        <v>-0.27859602996571586</v>
      </c>
    </row>
    <row r="68" spans="1:16">
      <c r="A68">
        <v>1</v>
      </c>
      <c r="B68">
        <v>2399.3404412495061</v>
      </c>
      <c r="C68">
        <v>-491.94044124950574</v>
      </c>
      <c r="M68">
        <v>9</v>
      </c>
      <c r="N68">
        <v>2843.6240072200508</v>
      </c>
      <c r="O68">
        <v>-1029.8040072200511</v>
      </c>
      <c r="P68">
        <v>-1.2691680450743736</v>
      </c>
    </row>
    <row r="69" spans="1:16">
      <c r="A69">
        <v>2</v>
      </c>
      <c r="B69">
        <v>2852.9903204225434</v>
      </c>
      <c r="C69">
        <v>-270.45698708921009</v>
      </c>
      <c r="M69">
        <v>10</v>
      </c>
      <c r="N69">
        <v>2602.8459461630005</v>
      </c>
      <c r="O69">
        <v>1437.8940538369998</v>
      </c>
      <c r="P69">
        <v>1.7721131133085752</v>
      </c>
    </row>
    <row r="70" spans="1:16">
      <c r="A70">
        <v>3</v>
      </c>
      <c r="B70">
        <v>615.07868002261011</v>
      </c>
      <c r="C70">
        <v>576.02131997738979</v>
      </c>
      <c r="M70">
        <v>11</v>
      </c>
      <c r="N70">
        <v>915.1191196899947</v>
      </c>
      <c r="O70">
        <v>-40.125786356661365</v>
      </c>
      <c r="P70">
        <v>-4.9452483647671228E-2</v>
      </c>
    </row>
    <row r="71" spans="1:16">
      <c r="A71">
        <v>4</v>
      </c>
      <c r="B71">
        <v>2908.1517500790087</v>
      </c>
      <c r="C71">
        <v>237.99713880987974</v>
      </c>
      <c r="M71">
        <v>12</v>
      </c>
      <c r="N71">
        <v>2592.9855090037304</v>
      </c>
      <c r="O71">
        <v>283.44782432960301</v>
      </c>
      <c r="P71">
        <v>0.34933144419986317</v>
      </c>
    </row>
    <row r="72" spans="1:16">
      <c r="A72">
        <v>5</v>
      </c>
      <c r="B72">
        <v>3262.2518266411512</v>
      </c>
      <c r="C72">
        <v>58.821506692182083</v>
      </c>
      <c r="M72">
        <v>13</v>
      </c>
      <c r="N72">
        <v>2402.5493331484149</v>
      </c>
      <c r="O72">
        <v>-594.22933314841475</v>
      </c>
      <c r="P72">
        <v>-0.73234991881000511</v>
      </c>
    </row>
    <row r="73" spans="1:16">
      <c r="A73">
        <v>6</v>
      </c>
      <c r="B73">
        <v>2540.8360089761268</v>
      </c>
      <c r="C73">
        <v>-1470.4426756427936</v>
      </c>
      <c r="M73">
        <v>14</v>
      </c>
      <c r="N73">
        <v>2303.76590690074</v>
      </c>
      <c r="O73">
        <v>-188.78590690073997</v>
      </c>
      <c r="P73">
        <v>-0.23266664211727653</v>
      </c>
    </row>
    <row r="74" spans="1:16">
      <c r="A74">
        <v>7</v>
      </c>
      <c r="B74">
        <v>2912.0245483077038</v>
      </c>
      <c r="C74">
        <v>-56.464548307703353</v>
      </c>
      <c r="M74">
        <v>15</v>
      </c>
      <c r="N74">
        <v>3163.0047357397571</v>
      </c>
      <c r="O74">
        <v>1830.3352642602422</v>
      </c>
      <c r="P74">
        <v>2.2557719846544293</v>
      </c>
    </row>
    <row r="75" spans="1:16" ht="17" thickBot="1">
      <c r="A75">
        <v>8</v>
      </c>
      <c r="B75">
        <v>2311.51305039608</v>
      </c>
      <c r="C75">
        <v>-226.05305039607993</v>
      </c>
      <c r="M75" s="10">
        <v>16</v>
      </c>
      <c r="N75" s="10">
        <v>5381.9943715951495</v>
      </c>
      <c r="O75" s="10">
        <v>-56.214371595148805</v>
      </c>
      <c r="P75" s="10">
        <v>-6.9280643309105064E-2</v>
      </c>
    </row>
    <row r="76" spans="1:16">
      <c r="A76">
        <v>9</v>
      </c>
      <c r="B76">
        <v>2843.6240072200508</v>
      </c>
      <c r="C76">
        <v>-1029.8040072200511</v>
      </c>
    </row>
    <row r="77" spans="1:16">
      <c r="A77">
        <v>10</v>
      </c>
      <c r="B77">
        <v>2602.8459461630005</v>
      </c>
      <c r="C77">
        <v>1437.8940538369998</v>
      </c>
    </row>
    <row r="78" spans="1:16">
      <c r="A78">
        <v>11</v>
      </c>
      <c r="B78">
        <v>915.1191196899947</v>
      </c>
      <c r="C78">
        <v>-40.125786356661365</v>
      </c>
    </row>
    <row r="79" spans="1:16">
      <c r="A79">
        <v>12</v>
      </c>
      <c r="B79">
        <v>2592.9855090037304</v>
      </c>
      <c r="C79">
        <v>283.44782432960301</v>
      </c>
    </row>
    <row r="80" spans="1:16">
      <c r="A80">
        <v>13</v>
      </c>
      <c r="B80">
        <v>2402.5493331484149</v>
      </c>
      <c r="C80">
        <v>-594.22933314841475</v>
      </c>
    </row>
    <row r="81" spans="1:5">
      <c r="A81">
        <v>14</v>
      </c>
      <c r="B81">
        <v>2303.76590690074</v>
      </c>
      <c r="C81">
        <v>-188.78590690073997</v>
      </c>
    </row>
    <row r="82" spans="1:5">
      <c r="A82">
        <v>15</v>
      </c>
      <c r="B82">
        <v>3163.0047357397571</v>
      </c>
      <c r="C82">
        <v>1830.3352642602422</v>
      </c>
    </row>
    <row r="83" spans="1:5" ht="17" thickBot="1">
      <c r="A83" s="10">
        <v>16</v>
      </c>
      <c r="B83" s="10">
        <v>5381.9943715951495</v>
      </c>
      <c r="C83" s="10">
        <v>-56.214371595148805</v>
      </c>
    </row>
    <row r="86" spans="1:5">
      <c r="A86" s="64"/>
      <c r="B86" s="1" t="s">
        <v>76</v>
      </c>
      <c r="C86" s="2" t="s">
        <v>71</v>
      </c>
      <c r="D86" s="2" t="s">
        <v>74</v>
      </c>
      <c r="E86" s="2" t="s">
        <v>75</v>
      </c>
    </row>
    <row r="87" spans="1:5">
      <c r="A87" s="8" t="s">
        <v>1</v>
      </c>
      <c r="B87" s="16">
        <v>1907.4000000000003</v>
      </c>
      <c r="C87" s="16">
        <v>5166.6000000000004</v>
      </c>
      <c r="D87" s="65">
        <v>58.659854289439131</v>
      </c>
      <c r="E87" s="63">
        <v>434199.86666666664</v>
      </c>
    </row>
    <row r="88" spans="1:5">
      <c r="A88" s="8" t="s">
        <v>2</v>
      </c>
      <c r="B88" s="16">
        <v>2582.5333333333333</v>
      </c>
      <c r="C88" s="16">
        <v>6248.8</v>
      </c>
      <c r="D88" s="65">
        <v>52.012057141546194</v>
      </c>
      <c r="E88" s="63">
        <v>425996.93333333335</v>
      </c>
    </row>
    <row r="89" spans="1:5">
      <c r="A89" s="8" t="s">
        <v>3</v>
      </c>
      <c r="B89" s="16">
        <v>1191.0999999999999</v>
      </c>
      <c r="C89" s="16">
        <v>2590.8666666666668</v>
      </c>
      <c r="D89" s="65">
        <v>51.201257735567715</v>
      </c>
      <c r="E89" s="63">
        <v>974092.80000000005</v>
      </c>
    </row>
    <row r="90" spans="1:5">
      <c r="A90" s="8" t="s">
        <v>4</v>
      </c>
      <c r="B90" s="16">
        <v>3146.1488888888885</v>
      </c>
      <c r="C90" s="16">
        <v>3812.8</v>
      </c>
      <c r="D90" s="65">
        <v>52.17390431176684</v>
      </c>
      <c r="E90" s="63">
        <v>303734.66666666669</v>
      </c>
    </row>
    <row r="91" spans="1:5">
      <c r="A91" s="8" t="s">
        <v>5</v>
      </c>
      <c r="B91" s="16">
        <v>3321.0733333333333</v>
      </c>
      <c r="C91" s="16">
        <v>8445.7999999999993</v>
      </c>
      <c r="D91" s="65">
        <v>53.08116827324163</v>
      </c>
      <c r="E91" s="63">
        <v>335477.33333333331</v>
      </c>
    </row>
    <row r="92" spans="1:5">
      <c r="A92" s="8" t="s">
        <v>6</v>
      </c>
      <c r="B92" s="16">
        <v>1070.3933333333332</v>
      </c>
      <c r="C92" s="16">
        <v>8099.6</v>
      </c>
      <c r="D92" s="65">
        <v>50.991659258009854</v>
      </c>
      <c r="E92" s="63">
        <v>554854.93333333335</v>
      </c>
    </row>
    <row r="93" spans="1:5">
      <c r="A93" s="8" t="s">
        <v>7</v>
      </c>
      <c r="B93" s="16">
        <v>2855.5600000000004</v>
      </c>
      <c r="C93" s="16">
        <v>13834.266666666666</v>
      </c>
      <c r="D93" s="65">
        <v>51.912820218070557</v>
      </c>
      <c r="E93" s="63">
        <v>701409.1333333333</v>
      </c>
    </row>
    <row r="94" spans="1:5">
      <c r="A94" s="8" t="s">
        <v>8</v>
      </c>
      <c r="B94" s="16">
        <v>2085.46</v>
      </c>
      <c r="C94" s="16">
        <v>6453.2</v>
      </c>
      <c r="D94" s="65">
        <v>59.393740500778058</v>
      </c>
      <c r="E94" s="63">
        <v>520758.73333333334</v>
      </c>
    </row>
    <row r="95" spans="1:5">
      <c r="A95" s="8" t="s">
        <v>9</v>
      </c>
      <c r="B95" s="16">
        <v>1813.8199999999997</v>
      </c>
      <c r="C95" s="16">
        <v>4070.2</v>
      </c>
      <c r="D95" s="65">
        <v>45.274321314000602</v>
      </c>
      <c r="E95" s="63">
        <v>336808.93333333335</v>
      </c>
    </row>
    <row r="96" spans="1:5">
      <c r="A96" s="8" t="s">
        <v>10</v>
      </c>
      <c r="B96" s="16">
        <v>4040.7400000000002</v>
      </c>
      <c r="C96" s="16">
        <v>1778.5333333333333</v>
      </c>
      <c r="D96" s="65">
        <v>46.867649109714435</v>
      </c>
      <c r="E96" s="63">
        <v>281357.40000000002</v>
      </c>
    </row>
    <row r="97" spans="1:5">
      <c r="A97" s="8" t="s">
        <v>68</v>
      </c>
      <c r="B97" s="16">
        <v>874.99333333333334</v>
      </c>
      <c r="C97" s="16">
        <v>3039.1333333333332</v>
      </c>
      <c r="D97" s="65">
        <v>38.418339465399278</v>
      </c>
      <c r="E97" s="63">
        <v>900458</v>
      </c>
    </row>
    <row r="98" spans="1:5">
      <c r="A98" s="8" t="s">
        <v>11</v>
      </c>
      <c r="B98" s="16">
        <v>2876.4333333333334</v>
      </c>
      <c r="C98" s="16">
        <v>5027.3999999999996</v>
      </c>
      <c r="D98" s="65">
        <v>56.515202316615415</v>
      </c>
      <c r="E98" s="63">
        <v>424483.8</v>
      </c>
    </row>
    <row r="99" spans="1:5">
      <c r="A99" s="8" t="s">
        <v>12</v>
      </c>
      <c r="B99" s="16">
        <v>1808.3200000000002</v>
      </c>
      <c r="C99" s="16">
        <v>2118.2666666666669</v>
      </c>
      <c r="D99" s="65">
        <v>58.157644943256038</v>
      </c>
      <c r="E99" s="63">
        <v>334883.8</v>
      </c>
    </row>
    <row r="100" spans="1:5">
      <c r="A100" s="8" t="s">
        <v>13</v>
      </c>
      <c r="B100" s="16">
        <v>2114.98</v>
      </c>
      <c r="C100" s="16">
        <v>9941</v>
      </c>
      <c r="D100" s="65">
        <v>52.781679661544075</v>
      </c>
      <c r="E100" s="63">
        <v>711156.2</v>
      </c>
    </row>
    <row r="101" spans="1:5">
      <c r="A101" s="8" t="s">
        <v>14</v>
      </c>
      <c r="B101" s="16">
        <v>4993.3399999999992</v>
      </c>
      <c r="C101" s="16">
        <v>11644.466666666667</v>
      </c>
      <c r="D101" s="65">
        <v>55.443789053287489</v>
      </c>
      <c r="E101" s="63">
        <v>485758.86666666664</v>
      </c>
    </row>
    <row r="102" spans="1:5">
      <c r="A102" s="8" t="s">
        <v>15</v>
      </c>
      <c r="B102" s="16">
        <v>5325.7800000000007</v>
      </c>
      <c r="C102" s="16">
        <v>42013.066666666666</v>
      </c>
      <c r="D102" s="65">
        <v>52.879669160540061</v>
      </c>
      <c r="E102" s="63">
        <v>868974.33333333337</v>
      </c>
    </row>
    <row r="105" spans="1:5">
      <c r="A105" t="s">
        <v>19</v>
      </c>
    </row>
    <row r="106" spans="1:5" ht="17" thickBot="1"/>
    <row r="107" spans="1:5">
      <c r="A107" s="12" t="s">
        <v>20</v>
      </c>
      <c r="B107" s="12"/>
    </row>
    <row r="108" spans="1:5">
      <c r="A108" t="s">
        <v>21</v>
      </c>
      <c r="B108">
        <v>0.78210350607112777</v>
      </c>
    </row>
    <row r="109" spans="1:5">
      <c r="A109" t="s">
        <v>22</v>
      </c>
      <c r="B109">
        <v>0.61168589420875064</v>
      </c>
    </row>
    <row r="110" spans="1:5">
      <c r="A110" t="s">
        <v>23</v>
      </c>
      <c r="B110">
        <v>0.51460736776093829</v>
      </c>
    </row>
    <row r="111" spans="1:5">
      <c r="A111" t="s">
        <v>24</v>
      </c>
      <c r="B111">
        <v>912.09173383775283</v>
      </c>
    </row>
    <row r="112" spans="1:5" ht="17" thickBot="1">
      <c r="A112" s="10" t="s">
        <v>25</v>
      </c>
      <c r="B112" s="10">
        <v>16</v>
      </c>
    </row>
    <row r="114" spans="1:9" ht="17" thickBot="1">
      <c r="A114" t="s">
        <v>26</v>
      </c>
    </row>
    <row r="115" spans="1:9">
      <c r="A115" s="11"/>
      <c r="B115" s="11" t="s">
        <v>31</v>
      </c>
      <c r="C115" s="11" t="s">
        <v>32</v>
      </c>
      <c r="D115" s="11" t="s">
        <v>33</v>
      </c>
      <c r="E115" s="11" t="s">
        <v>34</v>
      </c>
      <c r="F115" s="11" t="s">
        <v>35</v>
      </c>
    </row>
    <row r="116" spans="1:9">
      <c r="A116" t="s">
        <v>27</v>
      </c>
      <c r="B116">
        <v>3</v>
      </c>
      <c r="C116">
        <v>15725468.184944768</v>
      </c>
      <c r="D116">
        <v>5241822.7283149222</v>
      </c>
      <c r="E116">
        <v>6.3009392147869256</v>
      </c>
      <c r="F116">
        <v>8.2072703500101936E-3</v>
      </c>
    </row>
    <row r="117" spans="1:9">
      <c r="A117" t="s">
        <v>28</v>
      </c>
      <c r="B117">
        <v>12</v>
      </c>
      <c r="C117">
        <v>9982935.9712218978</v>
      </c>
      <c r="D117">
        <v>831911.33093515818</v>
      </c>
    </row>
    <row r="118" spans="1:9" ht="17" thickBot="1">
      <c r="A118" s="10" t="s">
        <v>29</v>
      </c>
      <c r="B118" s="10">
        <v>15</v>
      </c>
      <c r="C118" s="10">
        <v>25708404.156166665</v>
      </c>
      <c r="D118" s="10"/>
      <c r="E118" s="10"/>
      <c r="F118" s="10"/>
    </row>
    <row r="119" spans="1:9" ht="17" thickBot="1"/>
    <row r="120" spans="1:9">
      <c r="A120" s="11"/>
      <c r="B120" s="11" t="s">
        <v>36</v>
      </c>
      <c r="C120" s="11" t="s">
        <v>24</v>
      </c>
      <c r="D120" s="11" t="s">
        <v>37</v>
      </c>
      <c r="E120" s="11" t="s">
        <v>38</v>
      </c>
      <c r="F120" s="11" t="s">
        <v>39</v>
      </c>
      <c r="G120" s="11" t="s">
        <v>40</v>
      </c>
      <c r="H120" s="11" t="s">
        <v>41</v>
      </c>
      <c r="I120" s="11" t="s">
        <v>42</v>
      </c>
    </row>
    <row r="121" spans="1:9">
      <c r="A121" t="s">
        <v>30</v>
      </c>
      <c r="B121">
        <v>3817.3868302415744</v>
      </c>
      <c r="C121">
        <v>2746.6997055651473</v>
      </c>
      <c r="D121">
        <v>1.3898085846469073</v>
      </c>
      <c r="E121">
        <v>0.189831777890975</v>
      </c>
      <c r="F121">
        <v>-2167.1577274869674</v>
      </c>
      <c r="G121">
        <v>9801.9313879701167</v>
      </c>
      <c r="H121">
        <v>-2167.1577274869674</v>
      </c>
      <c r="I121">
        <v>9801.9313879701167</v>
      </c>
    </row>
    <row r="122" spans="1:9">
      <c r="A122" t="s">
        <v>71</v>
      </c>
      <c r="B122">
        <v>0.11509705530660887</v>
      </c>
      <c r="C122">
        <v>2.7949837229787264E-2</v>
      </c>
      <c r="D122">
        <v>4.1179866043708229</v>
      </c>
      <c r="E122">
        <v>1.4257733310040011E-3</v>
      </c>
      <c r="F122">
        <v>5.4199591363237626E-2</v>
      </c>
      <c r="G122">
        <v>0.17599451924998011</v>
      </c>
      <c r="H122">
        <v>5.4199591363237626E-2</v>
      </c>
      <c r="I122">
        <v>0.17599451924998011</v>
      </c>
    </row>
    <row r="123" spans="1:9">
      <c r="A123" t="s">
        <v>74</v>
      </c>
      <c r="B123">
        <v>-9.1686954467750645</v>
      </c>
      <c r="C123">
        <v>47.813499445098202</v>
      </c>
      <c r="D123">
        <v>-0.19175955646800144</v>
      </c>
      <c r="E123">
        <v>0.85113708843532754</v>
      </c>
      <c r="F123">
        <v>-113.34536146904193</v>
      </c>
      <c r="G123">
        <v>95.007970575491811</v>
      </c>
      <c r="H123">
        <v>-113.34536146904193</v>
      </c>
      <c r="I123">
        <v>95.007970575491811</v>
      </c>
    </row>
    <row r="124" spans="1:9" ht="17" thickBot="1">
      <c r="A124" s="10" t="s">
        <v>75</v>
      </c>
      <c r="B124" s="10">
        <v>-3.1256302083924625E-3</v>
      </c>
      <c r="C124" s="10">
        <v>1.2296368947772082E-3</v>
      </c>
      <c r="D124" s="10">
        <v>-2.541913162876249</v>
      </c>
      <c r="E124" s="10">
        <v>2.5847221618586966E-2</v>
      </c>
      <c r="F124" s="10">
        <v>-5.8047788505652155E-3</v>
      </c>
      <c r="G124" s="10">
        <v>-4.4648156621970956E-4</v>
      </c>
      <c r="H124" s="10">
        <v>-5.8047788505652155E-3</v>
      </c>
      <c r="I124" s="10">
        <v>-4.4648156621970956E-4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655A-2D90-5845-A867-7105C991571A}">
  <dimension ref="A2:T147"/>
  <sheetViews>
    <sheetView topLeftCell="A114" workbookViewId="0">
      <selection activeCell="J9" sqref="J9"/>
    </sheetView>
  </sheetViews>
  <sheetFormatPr baseColWidth="10" defaultRowHeight="16"/>
  <sheetData>
    <row r="2" spans="1:15" ht="17" thickBot="1"/>
    <row r="3" spans="1:15">
      <c r="A3" s="64"/>
      <c r="B3" s="1" t="s">
        <v>76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I3" s="11"/>
      <c r="J3" s="11" t="s">
        <v>76</v>
      </c>
      <c r="K3" s="11" t="s">
        <v>71</v>
      </c>
      <c r="L3" s="11" t="s">
        <v>72</v>
      </c>
      <c r="M3" s="11" t="s">
        <v>73</v>
      </c>
      <c r="N3" s="11" t="s">
        <v>74</v>
      </c>
      <c r="O3" s="11" t="s">
        <v>75</v>
      </c>
    </row>
    <row r="4" spans="1:15">
      <c r="A4" s="8" t="s">
        <v>1</v>
      </c>
      <c r="B4" s="66">
        <v>1.9074000000000004</v>
      </c>
      <c r="C4" s="66">
        <v>5.1666000000000004E-3</v>
      </c>
      <c r="D4" s="50">
        <v>5.3082092778058581</v>
      </c>
      <c r="E4" s="74">
        <v>0.74035700000000004</v>
      </c>
      <c r="F4" s="76">
        <v>58.659854289439131</v>
      </c>
      <c r="G4" s="66">
        <v>0.43419986666666666</v>
      </c>
      <c r="I4" t="s">
        <v>76</v>
      </c>
      <c r="J4">
        <v>1</v>
      </c>
    </row>
    <row r="5" spans="1:15">
      <c r="A5" s="8" t="s">
        <v>2</v>
      </c>
      <c r="B5" s="66">
        <v>2.5825333333333331</v>
      </c>
      <c r="C5" s="66">
        <v>6.2488000000000005E-3</v>
      </c>
      <c r="D5" s="50">
        <v>5.0717551491695207</v>
      </c>
      <c r="E5" s="74">
        <v>0.82106040000000002</v>
      </c>
      <c r="F5" s="76">
        <v>52.012057141546194</v>
      </c>
      <c r="G5" s="66">
        <v>0.42599693333333333</v>
      </c>
      <c r="I5" t="s">
        <v>71</v>
      </c>
      <c r="J5">
        <v>0.28296642883606676</v>
      </c>
      <c r="K5">
        <v>1</v>
      </c>
    </row>
    <row r="6" spans="1:15">
      <c r="A6" s="8" t="s">
        <v>3</v>
      </c>
      <c r="B6" s="66">
        <v>1.1910999999999998</v>
      </c>
      <c r="C6" s="66">
        <v>2.5908666666666666E-3</v>
      </c>
      <c r="D6" s="50">
        <v>5.1005678979394506</v>
      </c>
      <c r="E6" s="74">
        <v>1.9011854666666665</v>
      </c>
      <c r="F6" s="76">
        <v>51.201257735567715</v>
      </c>
      <c r="G6" s="66">
        <v>0.97409280000000009</v>
      </c>
      <c r="I6" t="s">
        <v>72</v>
      </c>
      <c r="J6">
        <v>4.6835887436764104E-2</v>
      </c>
      <c r="K6">
        <v>0.52899188569439348</v>
      </c>
      <c r="L6">
        <v>1</v>
      </c>
    </row>
    <row r="7" spans="1:15">
      <c r="A7" s="8" t="s">
        <v>4</v>
      </c>
      <c r="B7" s="66">
        <v>9.4384466666666658</v>
      </c>
      <c r="C7" s="66">
        <v>3.8128000000000003E-3</v>
      </c>
      <c r="D7" s="50">
        <v>5.1272700068587911</v>
      </c>
      <c r="E7" s="74">
        <v>0.58266906666666662</v>
      </c>
      <c r="F7" s="76">
        <v>52.17390431176684</v>
      </c>
      <c r="G7" s="66">
        <v>0.30373466666666671</v>
      </c>
      <c r="I7" t="s">
        <v>73</v>
      </c>
      <c r="J7">
        <v>-0.33543539697260338</v>
      </c>
      <c r="K7">
        <v>0.28414137202892581</v>
      </c>
      <c r="L7">
        <v>0.24539064442631092</v>
      </c>
      <c r="M7">
        <v>1</v>
      </c>
    </row>
    <row r="8" spans="1:15">
      <c r="A8" s="8" t="s">
        <v>5</v>
      </c>
      <c r="B8" s="66">
        <v>3.3210733333333331</v>
      </c>
      <c r="C8" s="66">
        <v>8.4457999999999998E-3</v>
      </c>
      <c r="D8" s="50">
        <v>5.2660793678517441</v>
      </c>
      <c r="E8" s="74">
        <v>0.63263553333333333</v>
      </c>
      <c r="F8" s="76">
        <v>53.08116827324163</v>
      </c>
      <c r="G8" s="66">
        <v>0.33547733333333329</v>
      </c>
      <c r="I8" t="s">
        <v>74</v>
      </c>
      <c r="J8">
        <v>0.13092438593529926</v>
      </c>
      <c r="K8">
        <v>0.11894458249060662</v>
      </c>
      <c r="L8">
        <v>-0.31635728799810098</v>
      </c>
      <c r="M8">
        <v>-0.52597976764438437</v>
      </c>
      <c r="N8">
        <v>1</v>
      </c>
    </row>
    <row r="9" spans="1:15" ht="17" thickBot="1">
      <c r="A9" s="8" t="s">
        <v>6</v>
      </c>
      <c r="B9" s="66">
        <v>1.0703933333333333</v>
      </c>
      <c r="C9" s="66">
        <v>8.0996000000000002E-3</v>
      </c>
      <c r="D9" s="50">
        <v>5.2744020564440524</v>
      </c>
      <c r="E9" s="74">
        <v>1.0917682</v>
      </c>
      <c r="F9" s="76">
        <v>50.991659258009854</v>
      </c>
      <c r="G9" s="66">
        <v>0.55485493333333336</v>
      </c>
      <c r="I9" s="10" t="s">
        <v>75</v>
      </c>
      <c r="J9" s="10">
        <v>-0.31073454543167561</v>
      </c>
      <c r="K9" s="10">
        <v>0.41373480813985969</v>
      </c>
      <c r="L9" s="10">
        <v>0.17281501444402958</v>
      </c>
      <c r="M9" s="10">
        <v>0.95371822981179222</v>
      </c>
      <c r="N9" s="10">
        <v>-0.28749483397131881</v>
      </c>
      <c r="O9" s="10">
        <v>1</v>
      </c>
    </row>
    <row r="10" spans="1:15">
      <c r="A10" s="8" t="s">
        <v>7</v>
      </c>
      <c r="B10" s="66">
        <v>2.8555600000000005</v>
      </c>
      <c r="C10" s="66">
        <v>1.3834266666666666E-2</v>
      </c>
      <c r="D10" s="50">
        <v>5.0477448468016402</v>
      </c>
      <c r="E10" s="74">
        <v>1.3510167333333334</v>
      </c>
      <c r="F10" s="76">
        <v>51.912820218070557</v>
      </c>
      <c r="G10" s="66">
        <v>0.70140913333333332</v>
      </c>
    </row>
    <row r="11" spans="1:15">
      <c r="A11" s="8" t="s">
        <v>8</v>
      </c>
      <c r="B11" s="66">
        <v>2.0854599999999999</v>
      </c>
      <c r="C11" s="66">
        <v>6.4532000000000001E-3</v>
      </c>
      <c r="D11" s="50">
        <v>5.237792577925779</v>
      </c>
      <c r="E11" s="74">
        <v>0.87653199999999998</v>
      </c>
      <c r="F11" s="76">
        <v>59.393740500778058</v>
      </c>
      <c r="G11" s="66">
        <v>0.52075873333333333</v>
      </c>
    </row>
    <row r="12" spans="1:15">
      <c r="A12" s="8" t="s">
        <v>9</v>
      </c>
      <c r="B12" s="66">
        <v>1.8138199999999998</v>
      </c>
      <c r="C12" s="66">
        <v>4.0701999999999995E-3</v>
      </c>
      <c r="D12" s="50">
        <v>5.3026385452002867</v>
      </c>
      <c r="E12" s="74">
        <v>0.74592473333333331</v>
      </c>
      <c r="F12" s="76">
        <v>45.274321314000602</v>
      </c>
      <c r="G12" s="66">
        <v>0.33680893333333334</v>
      </c>
    </row>
    <row r="13" spans="1:15">
      <c r="A13" s="8" t="s">
        <v>10</v>
      </c>
      <c r="B13" s="66">
        <v>4.0407400000000004</v>
      </c>
      <c r="C13" s="66">
        <v>1.7785333333333333E-3</v>
      </c>
      <c r="D13" s="50">
        <v>5.4568636100056009</v>
      </c>
      <c r="E13" s="74">
        <v>0.59984553333333335</v>
      </c>
      <c r="F13" s="76">
        <v>46.867649109714435</v>
      </c>
      <c r="G13" s="66">
        <v>0.28135740000000004</v>
      </c>
    </row>
    <row r="14" spans="1:15">
      <c r="A14" s="8" t="s">
        <v>68</v>
      </c>
      <c r="B14" s="66">
        <v>0.87499333333333329</v>
      </c>
      <c r="C14" s="66">
        <v>3.039133333333333E-3</v>
      </c>
      <c r="D14" s="50">
        <v>5.4477931369665571</v>
      </c>
      <c r="E14" s="74">
        <v>2.3741427333333336</v>
      </c>
      <c r="F14" s="76">
        <v>38.418339465399278</v>
      </c>
      <c r="G14" s="66">
        <v>0.90045799999999998</v>
      </c>
    </row>
    <row r="15" spans="1:15">
      <c r="A15" s="8" t="s">
        <v>11</v>
      </c>
      <c r="B15" s="66">
        <v>2.8764333333333334</v>
      </c>
      <c r="C15" s="66">
        <v>5.0273999999999996E-3</v>
      </c>
      <c r="D15" s="50">
        <v>5.1106238370324375</v>
      </c>
      <c r="E15" s="74">
        <v>0.75122873333333329</v>
      </c>
      <c r="F15" s="76">
        <v>56.515202316615415</v>
      </c>
      <c r="G15" s="66">
        <v>0.42448379999999997</v>
      </c>
    </row>
    <row r="16" spans="1:15">
      <c r="A16" s="8" t="s">
        <v>12</v>
      </c>
      <c r="B16" s="66">
        <v>1.8083200000000001</v>
      </c>
      <c r="C16" s="66">
        <v>2.1182666666666669E-3</v>
      </c>
      <c r="D16" s="50">
        <v>5.2412656270578806</v>
      </c>
      <c r="E16" s="74">
        <v>0.57483399999999996</v>
      </c>
      <c r="F16" s="76">
        <v>58.157644943256038</v>
      </c>
      <c r="G16" s="66">
        <v>0.33488380000000001</v>
      </c>
    </row>
    <row r="17" spans="1:14">
      <c r="A17" s="8" t="s">
        <v>13</v>
      </c>
      <c r="B17" s="66">
        <v>2.1149800000000001</v>
      </c>
      <c r="C17" s="66">
        <v>9.9410000000000002E-3</v>
      </c>
      <c r="D17" s="50">
        <v>5.16164313964883</v>
      </c>
      <c r="E17" s="74">
        <v>1.3469071333333333</v>
      </c>
      <c r="F17" s="76">
        <v>52.781679661544075</v>
      </c>
      <c r="G17" s="66">
        <v>0.71115619999999991</v>
      </c>
    </row>
    <row r="18" spans="1:14">
      <c r="A18" s="8" t="s">
        <v>14</v>
      </c>
      <c r="B18" s="66">
        <v>4.993339999999999</v>
      </c>
      <c r="C18" s="66">
        <v>1.1644466666666667E-2</v>
      </c>
      <c r="D18" s="50">
        <v>5.2080265596771538</v>
      </c>
      <c r="E18" s="74">
        <v>0.88753346666666666</v>
      </c>
      <c r="F18" s="76">
        <v>55.443789053287489</v>
      </c>
      <c r="G18" s="66">
        <v>0.48575886666666662</v>
      </c>
    </row>
    <row r="19" spans="1:14">
      <c r="A19" s="8" t="s">
        <v>15</v>
      </c>
      <c r="B19" s="66">
        <v>5.3257800000000008</v>
      </c>
      <c r="C19" s="66">
        <v>4.2013066666666668E-2</v>
      </c>
      <c r="D19" s="50">
        <v>5.6835855510577415</v>
      </c>
      <c r="E19" s="74">
        <v>1.6446149333333333</v>
      </c>
      <c r="F19" s="76">
        <v>52.879669160540061</v>
      </c>
      <c r="G19" s="66">
        <v>0.8689743333333334</v>
      </c>
    </row>
    <row r="20" spans="1:14">
      <c r="C20" s="66"/>
      <c r="D20" s="50"/>
    </row>
    <row r="21" spans="1:14" ht="17" thickBot="1"/>
    <row r="22" spans="1:14">
      <c r="A22" s="64"/>
      <c r="B22" s="1" t="s">
        <v>76</v>
      </c>
      <c r="C22" s="2" t="s">
        <v>71</v>
      </c>
      <c r="D22" s="2" t="s">
        <v>72</v>
      </c>
      <c r="E22" s="2" t="s">
        <v>74</v>
      </c>
      <c r="F22" s="2" t="s">
        <v>75</v>
      </c>
      <c r="I22" s="11"/>
      <c r="J22" s="11" t="s">
        <v>76</v>
      </c>
      <c r="K22" s="11" t="s">
        <v>71</v>
      </c>
      <c r="L22" s="11" t="s">
        <v>72</v>
      </c>
      <c r="M22" s="11" t="s">
        <v>74</v>
      </c>
      <c r="N22" s="11" t="s">
        <v>75</v>
      </c>
    </row>
    <row r="23" spans="1:14">
      <c r="A23" s="8" t="s">
        <v>1</v>
      </c>
      <c r="B23" s="66">
        <v>1.9074000000000004</v>
      </c>
      <c r="C23" s="66">
        <v>5.1666000000000004E-3</v>
      </c>
      <c r="D23" s="50">
        <v>5.3082092778058581</v>
      </c>
      <c r="E23" s="76">
        <v>58.659854289439131</v>
      </c>
      <c r="F23" s="66">
        <v>0.43419986666666666</v>
      </c>
      <c r="I23" t="s">
        <v>76</v>
      </c>
      <c r="J23">
        <v>1</v>
      </c>
    </row>
    <row r="24" spans="1:14">
      <c r="A24" s="8" t="s">
        <v>2</v>
      </c>
      <c r="B24" s="66">
        <v>2.5825333333333331</v>
      </c>
      <c r="C24" s="66">
        <v>6.2488000000000005E-3</v>
      </c>
      <c r="D24" s="50">
        <v>5.0717551491695207</v>
      </c>
      <c r="E24" s="76">
        <v>52.012057141546194</v>
      </c>
      <c r="F24" s="66">
        <v>0.42599693333333333</v>
      </c>
      <c r="I24" t="s">
        <v>71</v>
      </c>
      <c r="J24">
        <v>0.28296642883606676</v>
      </c>
      <c r="K24">
        <v>1</v>
      </c>
    </row>
    <row r="25" spans="1:14">
      <c r="A25" s="8" t="s">
        <v>3</v>
      </c>
      <c r="B25" s="66">
        <v>1.1910999999999998</v>
      </c>
      <c r="C25" s="66">
        <v>2.5908666666666666E-3</v>
      </c>
      <c r="D25" s="50">
        <v>5.1005678979394506</v>
      </c>
      <c r="E25" s="76">
        <v>51.201257735567715</v>
      </c>
      <c r="F25" s="66">
        <v>0.97409280000000009</v>
      </c>
      <c r="I25" t="s">
        <v>72</v>
      </c>
      <c r="J25">
        <v>4.6835887436764104E-2</v>
      </c>
      <c r="K25">
        <v>0.52899188569439348</v>
      </c>
      <c r="L25">
        <v>1</v>
      </c>
    </row>
    <row r="26" spans="1:14">
      <c r="A26" s="8" t="s">
        <v>4</v>
      </c>
      <c r="B26" s="66">
        <v>9.4384466666666658</v>
      </c>
      <c r="C26" s="66">
        <v>3.8128000000000003E-3</v>
      </c>
      <c r="D26" s="50">
        <v>5.1272700068587911</v>
      </c>
      <c r="E26" s="76">
        <v>52.17390431176684</v>
      </c>
      <c r="F26" s="66">
        <v>0.30373466666666671</v>
      </c>
      <c r="I26" t="s">
        <v>74</v>
      </c>
      <c r="J26">
        <v>0.13092438593529926</v>
      </c>
      <c r="K26">
        <v>0.11894458249060662</v>
      </c>
      <c r="L26">
        <v>-0.31635728799810098</v>
      </c>
      <c r="M26">
        <v>1</v>
      </c>
    </row>
    <row r="27" spans="1:14" ht="17" thickBot="1">
      <c r="A27" s="8" t="s">
        <v>5</v>
      </c>
      <c r="B27" s="66">
        <v>3.3210733333333331</v>
      </c>
      <c r="C27" s="66">
        <v>8.4457999999999998E-3</v>
      </c>
      <c r="D27" s="50">
        <v>5.2660793678517441</v>
      </c>
      <c r="E27" s="76">
        <v>53.08116827324163</v>
      </c>
      <c r="F27" s="66">
        <v>0.33547733333333329</v>
      </c>
      <c r="I27" s="10" t="s">
        <v>75</v>
      </c>
      <c r="J27" s="10">
        <v>-0.31073454543167561</v>
      </c>
      <c r="K27" s="10">
        <v>0.41373480813985969</v>
      </c>
      <c r="L27" s="10">
        <v>0.17281501444402958</v>
      </c>
      <c r="M27" s="10">
        <v>-0.28749483397131881</v>
      </c>
      <c r="N27" s="10">
        <v>1</v>
      </c>
    </row>
    <row r="28" spans="1:14">
      <c r="A28" s="8" t="s">
        <v>6</v>
      </c>
      <c r="B28" s="66">
        <v>1.0703933333333333</v>
      </c>
      <c r="C28" s="66">
        <v>8.0996000000000002E-3</v>
      </c>
      <c r="D28" s="50">
        <v>5.2744020564440524</v>
      </c>
      <c r="E28" s="76">
        <v>50.991659258009854</v>
      </c>
      <c r="F28" s="66">
        <v>0.55485493333333336</v>
      </c>
    </row>
    <row r="29" spans="1:14">
      <c r="A29" s="8" t="s">
        <v>7</v>
      </c>
      <c r="B29" s="66">
        <v>2.8555600000000005</v>
      </c>
      <c r="C29" s="66">
        <v>1.3834266666666666E-2</v>
      </c>
      <c r="D29" s="50">
        <v>5.0477448468016402</v>
      </c>
      <c r="E29" s="76">
        <v>51.912820218070557</v>
      </c>
      <c r="F29" s="66">
        <v>0.70140913333333332</v>
      </c>
    </row>
    <row r="30" spans="1:14">
      <c r="A30" s="8" t="s">
        <v>8</v>
      </c>
      <c r="B30" s="66">
        <v>2.0854599999999999</v>
      </c>
      <c r="C30" s="66">
        <v>6.4532000000000001E-3</v>
      </c>
      <c r="D30" s="50">
        <v>5.237792577925779</v>
      </c>
      <c r="E30" s="76">
        <v>59.393740500778058</v>
      </c>
      <c r="F30" s="66">
        <v>0.52075873333333333</v>
      </c>
    </row>
    <row r="31" spans="1:14">
      <c r="A31" s="8" t="s">
        <v>9</v>
      </c>
      <c r="B31" s="66">
        <v>1.8138199999999998</v>
      </c>
      <c r="C31" s="66">
        <v>4.0701999999999995E-3</v>
      </c>
      <c r="D31" s="50">
        <v>5.3026385452002867</v>
      </c>
      <c r="E31" s="76">
        <v>45.274321314000602</v>
      </c>
      <c r="F31" s="66">
        <v>0.33680893333333334</v>
      </c>
    </row>
    <row r="32" spans="1:14">
      <c r="A32" s="8" t="s">
        <v>10</v>
      </c>
      <c r="B32" s="66">
        <v>4.0407400000000004</v>
      </c>
      <c r="C32" s="66">
        <v>1.7785333333333333E-3</v>
      </c>
      <c r="D32" s="50">
        <v>5.4568636100056009</v>
      </c>
      <c r="E32" s="76">
        <v>46.867649109714435</v>
      </c>
      <c r="F32" s="66">
        <v>0.28135740000000004</v>
      </c>
    </row>
    <row r="33" spans="1:13">
      <c r="A33" s="8" t="s">
        <v>68</v>
      </c>
      <c r="B33" s="66">
        <v>0.87499333333333329</v>
      </c>
      <c r="C33" s="66">
        <v>3.039133333333333E-3</v>
      </c>
      <c r="D33" s="50">
        <v>5.4477931369665571</v>
      </c>
      <c r="E33" s="76">
        <v>38.418339465399278</v>
      </c>
      <c r="F33" s="66">
        <v>0.90045799999999998</v>
      </c>
    </row>
    <row r="34" spans="1:13">
      <c r="A34" s="8" t="s">
        <v>11</v>
      </c>
      <c r="B34" s="66">
        <v>2.8764333333333334</v>
      </c>
      <c r="C34" s="66">
        <v>5.0273999999999996E-3</v>
      </c>
      <c r="D34" s="50">
        <v>5.1106238370324375</v>
      </c>
      <c r="E34" s="76">
        <v>56.515202316615415</v>
      </c>
      <c r="F34" s="66">
        <v>0.42448379999999997</v>
      </c>
    </row>
    <row r="35" spans="1:13">
      <c r="A35" s="8" t="s">
        <v>12</v>
      </c>
      <c r="B35" s="66">
        <v>1.8083200000000001</v>
      </c>
      <c r="C35" s="66">
        <v>2.1182666666666669E-3</v>
      </c>
      <c r="D35" s="50">
        <v>5.2412656270578806</v>
      </c>
      <c r="E35" s="76">
        <v>58.157644943256038</v>
      </c>
      <c r="F35" s="66">
        <v>0.33488380000000001</v>
      </c>
    </row>
    <row r="36" spans="1:13">
      <c r="A36" s="8" t="s">
        <v>13</v>
      </c>
      <c r="B36" s="66">
        <v>2.1149800000000001</v>
      </c>
      <c r="C36" s="66">
        <v>9.9410000000000002E-3</v>
      </c>
      <c r="D36" s="50">
        <v>5.16164313964883</v>
      </c>
      <c r="E36" s="76">
        <v>52.781679661544075</v>
      </c>
      <c r="F36" s="66">
        <v>0.71115619999999991</v>
      </c>
    </row>
    <row r="37" spans="1:13">
      <c r="A37" s="8" t="s">
        <v>14</v>
      </c>
      <c r="B37" s="66">
        <v>4.993339999999999</v>
      </c>
      <c r="C37" s="66">
        <v>1.1644466666666667E-2</v>
      </c>
      <c r="D37" s="50">
        <v>5.2080265596771538</v>
      </c>
      <c r="E37" s="76">
        <v>55.443789053287489</v>
      </c>
      <c r="F37" s="66">
        <v>0.48575886666666662</v>
      </c>
    </row>
    <row r="38" spans="1:13">
      <c r="A38" s="8" t="s">
        <v>15</v>
      </c>
      <c r="B38" s="66">
        <v>5.3257800000000008</v>
      </c>
      <c r="C38" s="66">
        <v>4.2013066666666668E-2</v>
      </c>
      <c r="D38" s="50">
        <v>5.6835855510577415</v>
      </c>
      <c r="E38" s="76">
        <v>52.879669160540061</v>
      </c>
      <c r="F38" s="66">
        <v>0.8689743333333334</v>
      </c>
    </row>
    <row r="41" spans="1:13">
      <c r="A41" t="s">
        <v>19</v>
      </c>
      <c r="L41" t="s">
        <v>19</v>
      </c>
    </row>
    <row r="42" spans="1:13" ht="17" thickBot="1"/>
    <row r="43" spans="1:13">
      <c r="A43" s="12" t="s">
        <v>20</v>
      </c>
      <c r="B43" s="12"/>
      <c r="L43" s="12" t="s">
        <v>20</v>
      </c>
      <c r="M43" s="12"/>
    </row>
    <row r="44" spans="1:13">
      <c r="A44" t="s">
        <v>21</v>
      </c>
      <c r="B44">
        <v>0.59791587447601713</v>
      </c>
      <c r="L44" t="s">
        <v>21</v>
      </c>
      <c r="M44">
        <v>0.60099776117734094</v>
      </c>
    </row>
    <row r="45" spans="1:13">
      <c r="A45" t="s">
        <v>22</v>
      </c>
      <c r="B45">
        <v>0.35750339295042027</v>
      </c>
      <c r="L45" t="s">
        <v>22</v>
      </c>
      <c r="M45">
        <v>0.36119830894017607</v>
      </c>
    </row>
    <row r="46" spans="1:13">
      <c r="A46" t="s">
        <v>23</v>
      </c>
      <c r="B46">
        <v>0.12386826311420945</v>
      </c>
      <c r="L46" t="s">
        <v>23</v>
      </c>
      <c r="M46">
        <v>4.1797463410264107E-2</v>
      </c>
    </row>
    <row r="47" spans="1:13">
      <c r="A47" t="s">
        <v>24</v>
      </c>
      <c r="B47">
        <v>2.0130424517188921</v>
      </c>
      <c r="L47" t="s">
        <v>24</v>
      </c>
      <c r="M47">
        <v>2.1052170826387284</v>
      </c>
    </row>
    <row r="48" spans="1:13" ht="17" thickBot="1">
      <c r="A48" s="10" t="s">
        <v>25</v>
      </c>
      <c r="B48" s="10">
        <v>16</v>
      </c>
      <c r="L48" s="10" t="s">
        <v>25</v>
      </c>
      <c r="M48" s="10">
        <v>16</v>
      </c>
    </row>
    <row r="50" spans="1:20" ht="17" thickBot="1">
      <c r="A50" t="s">
        <v>26</v>
      </c>
      <c r="L50" t="s">
        <v>26</v>
      </c>
    </row>
    <row r="51" spans="1:20">
      <c r="A51" s="11"/>
      <c r="B51" s="11" t="s">
        <v>31</v>
      </c>
      <c r="C51" s="11" t="s">
        <v>32</v>
      </c>
      <c r="D51" s="11" t="s">
        <v>33</v>
      </c>
      <c r="E51" s="11" t="s">
        <v>34</v>
      </c>
      <c r="F51" s="11" t="s">
        <v>35</v>
      </c>
      <c r="L51" s="11"/>
      <c r="M51" s="11" t="s">
        <v>31</v>
      </c>
      <c r="N51" s="11" t="s">
        <v>32</v>
      </c>
      <c r="O51" s="11" t="s">
        <v>33</v>
      </c>
      <c r="P51" s="11" t="s">
        <v>34</v>
      </c>
      <c r="Q51" s="11" t="s">
        <v>35</v>
      </c>
    </row>
    <row r="52" spans="1:20">
      <c r="A52" t="s">
        <v>27</v>
      </c>
      <c r="B52">
        <v>4</v>
      </c>
      <c r="C52">
        <v>24.803209501842375</v>
      </c>
      <c r="D52">
        <v>6.2008023754605937</v>
      </c>
      <c r="E52">
        <v>1.5301782450312458</v>
      </c>
      <c r="F52">
        <v>0.26031554036240778</v>
      </c>
      <c r="L52" t="s">
        <v>27</v>
      </c>
      <c r="M52">
        <v>5</v>
      </c>
      <c r="N52">
        <v>25.059558888149681</v>
      </c>
      <c r="O52">
        <v>5.011911777629936</v>
      </c>
      <c r="P52">
        <v>1.1308620938085454</v>
      </c>
      <c r="Q52">
        <v>0.40444275978307076</v>
      </c>
    </row>
    <row r="53" spans="1:20">
      <c r="A53" t="s">
        <v>28</v>
      </c>
      <c r="B53">
        <v>11</v>
      </c>
      <c r="C53">
        <v>44.575739036646496</v>
      </c>
      <c r="D53">
        <v>4.0523399124224087</v>
      </c>
      <c r="L53" t="s">
        <v>28</v>
      </c>
      <c r="M53">
        <v>10</v>
      </c>
      <c r="N53">
        <v>44.31938965033919</v>
      </c>
      <c r="O53">
        <v>4.4319389650339192</v>
      </c>
    </row>
    <row r="54" spans="1:20" ht="17" thickBot="1">
      <c r="A54" s="10" t="s">
        <v>29</v>
      </c>
      <c r="B54" s="10">
        <v>15</v>
      </c>
      <c r="C54" s="10">
        <v>69.378948538488871</v>
      </c>
      <c r="D54" s="10"/>
      <c r="E54" s="10"/>
      <c r="F54" s="10"/>
      <c r="L54" s="10" t="s">
        <v>29</v>
      </c>
      <c r="M54" s="10">
        <v>15</v>
      </c>
      <c r="N54" s="10">
        <v>69.378948538488871</v>
      </c>
      <c r="O54" s="10"/>
      <c r="P54" s="10"/>
      <c r="Q54" s="10"/>
    </row>
    <row r="55" spans="1:20" ht="17" thickBot="1"/>
    <row r="56" spans="1:20">
      <c r="A56" s="11"/>
      <c r="B56" s="11" t="s">
        <v>36</v>
      </c>
      <c r="C56" s="11" t="s">
        <v>24</v>
      </c>
      <c r="D56" s="11" t="s">
        <v>37</v>
      </c>
      <c r="E56" s="11" t="s">
        <v>38</v>
      </c>
      <c r="F56" s="11" t="s">
        <v>39</v>
      </c>
      <c r="G56" s="11" t="s">
        <v>40</v>
      </c>
      <c r="H56" s="11" t="s">
        <v>41</v>
      </c>
      <c r="I56" s="11" t="s">
        <v>42</v>
      </c>
      <c r="L56" s="11"/>
      <c r="M56" s="11" t="s">
        <v>36</v>
      </c>
      <c r="N56" s="11" t="s">
        <v>24</v>
      </c>
      <c r="O56" s="11" t="s">
        <v>37</v>
      </c>
      <c r="P56" s="11" t="s">
        <v>38</v>
      </c>
      <c r="Q56" s="11" t="s">
        <v>39</v>
      </c>
      <c r="R56" s="11" t="s">
        <v>40</v>
      </c>
      <c r="S56" s="11" t="s">
        <v>41</v>
      </c>
      <c r="T56" s="11" t="s">
        <v>42</v>
      </c>
    </row>
    <row r="57" spans="1:20">
      <c r="A57" t="s">
        <v>30</v>
      </c>
      <c r="B57">
        <v>30.507730320259604</v>
      </c>
      <c r="C57">
        <v>26.454714212923225</v>
      </c>
      <c r="D57">
        <v>1.153205817107503</v>
      </c>
      <c r="E57">
        <v>0.27326901474652299</v>
      </c>
      <c r="F57">
        <v>-27.71870307684976</v>
      </c>
      <c r="G57">
        <v>88.734163717368972</v>
      </c>
      <c r="H57">
        <v>-27.71870307684976</v>
      </c>
      <c r="I57">
        <v>88.734163717368972</v>
      </c>
      <c r="L57" t="s">
        <v>30</v>
      </c>
      <c r="M57">
        <v>30.685183168332401</v>
      </c>
      <c r="N57">
        <v>27.675878871286098</v>
      </c>
      <c r="O57">
        <v>1.1087338295936999</v>
      </c>
      <c r="P57">
        <v>0.29349750773495498</v>
      </c>
      <c r="Q57">
        <v>-30.980517807646194</v>
      </c>
      <c r="R57">
        <v>92.350884144310996</v>
      </c>
      <c r="S57">
        <v>-30.980517807646194</v>
      </c>
      <c r="T57">
        <v>92.350884144310996</v>
      </c>
    </row>
    <row r="58" spans="1:20">
      <c r="A58" t="s">
        <v>71</v>
      </c>
      <c r="B58">
        <v>163.74385129661161</v>
      </c>
      <c r="C58">
        <v>79.974747860641472</v>
      </c>
      <c r="D58">
        <v>2.0474444206056197</v>
      </c>
      <c r="E58">
        <v>6.5262313991822862E-2</v>
      </c>
      <c r="F58">
        <v>-12.279381926730773</v>
      </c>
      <c r="G58">
        <v>339.76708451995398</v>
      </c>
      <c r="H58">
        <v>-12.279381926730773</v>
      </c>
      <c r="I58">
        <v>339.76708451995398</v>
      </c>
      <c r="L58" t="s">
        <v>71</v>
      </c>
      <c r="M58">
        <v>175.43970256928563</v>
      </c>
      <c r="N58">
        <v>96.747419405793508</v>
      </c>
      <c r="O58">
        <v>1.8133786270146219</v>
      </c>
      <c r="P58">
        <v>9.9850404567417617E-2</v>
      </c>
      <c r="Q58">
        <v>-40.126981438173722</v>
      </c>
      <c r="R58">
        <v>391.006386576745</v>
      </c>
      <c r="S58">
        <v>-40.126981438173722</v>
      </c>
      <c r="T58">
        <v>391.006386576745</v>
      </c>
    </row>
    <row r="59" spans="1:20">
      <c r="A59" t="s">
        <v>72</v>
      </c>
      <c r="B59">
        <v>-3.9510016083090616</v>
      </c>
      <c r="C59">
        <v>4.2824428583146119</v>
      </c>
      <c r="D59">
        <v>-0.92260462988734626</v>
      </c>
      <c r="E59">
        <v>0.37600639000190128</v>
      </c>
      <c r="F59">
        <v>-13.376594788399942</v>
      </c>
      <c r="G59">
        <v>5.4745915717818177</v>
      </c>
      <c r="H59">
        <v>-13.376594788399942</v>
      </c>
      <c r="I59">
        <v>5.4745915717818177</v>
      </c>
      <c r="L59" t="s">
        <v>72</v>
      </c>
      <c r="M59">
        <v>-4.4010724774294445</v>
      </c>
      <c r="N59">
        <v>4.8537915527877544</v>
      </c>
      <c r="O59">
        <v>-0.90672877678517272</v>
      </c>
      <c r="P59">
        <v>0.38587788232521247</v>
      </c>
      <c r="Q59">
        <v>-15.215994015638628</v>
      </c>
      <c r="R59">
        <v>6.4138490607797385</v>
      </c>
      <c r="S59">
        <v>-15.215994015638628</v>
      </c>
      <c r="T59">
        <v>6.4138490607797385</v>
      </c>
    </row>
    <row r="60" spans="1:20">
      <c r="A60" t="s">
        <v>74</v>
      </c>
      <c r="B60">
        <v>-9.3967726939052296E-2</v>
      </c>
      <c r="C60">
        <v>0.1226695206708278</v>
      </c>
      <c r="D60">
        <v>-0.76602342966029768</v>
      </c>
      <c r="E60">
        <v>0.45978483465358411</v>
      </c>
      <c r="F60">
        <v>-0.36396152153109879</v>
      </c>
      <c r="G60">
        <v>0.17602606765299417</v>
      </c>
      <c r="H60">
        <v>-0.36396152153109879</v>
      </c>
      <c r="I60">
        <v>0.17602606765299417</v>
      </c>
      <c r="L60" t="s">
        <v>73</v>
      </c>
      <c r="M60">
        <v>1.9561449933981605</v>
      </c>
      <c r="N60">
        <v>8.1335808267828682</v>
      </c>
      <c r="O60">
        <v>0.24050231196533006</v>
      </c>
      <c r="P60">
        <v>0.8147996337819734</v>
      </c>
      <c r="Q60">
        <v>-16.166602452527393</v>
      </c>
      <c r="R60">
        <v>20.078892439323713</v>
      </c>
      <c r="S60">
        <v>-16.166602452527393</v>
      </c>
      <c r="T60">
        <v>20.078892439323713</v>
      </c>
    </row>
    <row r="61" spans="1:20" ht="17" thickBot="1">
      <c r="A61" s="10" t="s">
        <v>75</v>
      </c>
      <c r="B61" s="10">
        <v>-5.958488013654943</v>
      </c>
      <c r="C61" s="10">
        <v>2.8220845141473743</v>
      </c>
      <c r="D61" s="10">
        <v>-2.1113783034436011</v>
      </c>
      <c r="E61" s="10">
        <v>5.8437094665921195E-2</v>
      </c>
      <c r="F61" s="10">
        <v>-12.169854149817734</v>
      </c>
      <c r="G61" s="10">
        <v>0.25287812250784902</v>
      </c>
      <c r="H61" s="10">
        <v>-12.169854149817734</v>
      </c>
      <c r="I61" s="10">
        <v>0.25287812250784902</v>
      </c>
      <c r="L61" t="s">
        <v>74</v>
      </c>
      <c r="M61">
        <v>-5.0234444268056566E-2</v>
      </c>
      <c r="N61">
        <v>0.22253921844664953</v>
      </c>
      <c r="O61">
        <v>-0.22573299492421614</v>
      </c>
      <c r="P61">
        <v>0.82595570940623908</v>
      </c>
      <c r="Q61">
        <v>-0.54608272297969696</v>
      </c>
      <c r="R61">
        <v>0.44561383444358388</v>
      </c>
      <c r="S61">
        <v>-0.54608272297969696</v>
      </c>
      <c r="T61">
        <v>0.44561383444358388</v>
      </c>
    </row>
    <row r="62" spans="1:20" ht="17" thickBot="1">
      <c r="L62" s="10" t="s">
        <v>75</v>
      </c>
      <c r="M62" s="10">
        <v>-10.174737585728364</v>
      </c>
      <c r="N62" s="10">
        <v>17.777701577434247</v>
      </c>
      <c r="O62" s="10">
        <v>-0.57233144236392486</v>
      </c>
      <c r="P62" s="10">
        <v>0.57973596526647775</v>
      </c>
      <c r="Q62" s="10">
        <v>-49.785925169427287</v>
      </c>
      <c r="R62" s="10">
        <v>29.436449997970556</v>
      </c>
      <c r="S62" s="10">
        <v>-49.785925169427287</v>
      </c>
      <c r="T62" s="10">
        <v>29.436449997970556</v>
      </c>
    </row>
    <row r="64" spans="1:20" ht="17" thickBot="1">
      <c r="A64" s="64"/>
      <c r="B64" s="1" t="s">
        <v>76</v>
      </c>
      <c r="C64" s="2" t="s">
        <v>71</v>
      </c>
      <c r="D64" s="2" t="s">
        <v>72</v>
      </c>
      <c r="E64" s="2" t="s">
        <v>73</v>
      </c>
      <c r="F64" s="2" t="s">
        <v>74</v>
      </c>
      <c r="G64" s="2" t="s">
        <v>75</v>
      </c>
    </row>
    <row r="65" spans="1:16">
      <c r="A65" s="8" t="s">
        <v>1</v>
      </c>
      <c r="B65" s="74">
        <v>0.64574105816267524</v>
      </c>
      <c r="C65" s="74">
        <v>-5.2655404470340992</v>
      </c>
      <c r="D65" s="74">
        <v>1.6692545425589556</v>
      </c>
      <c r="E65" s="74">
        <v>-0.3006227766846013</v>
      </c>
      <c r="F65" s="74">
        <v>4.0717555795612066</v>
      </c>
      <c r="G65" s="74">
        <v>-0.83425032861614412</v>
      </c>
      <c r="J65" s="11"/>
      <c r="K65" s="11" t="s">
        <v>76</v>
      </c>
      <c r="L65" s="11" t="s">
        <v>71</v>
      </c>
      <c r="M65" s="11" t="s">
        <v>72</v>
      </c>
      <c r="N65" s="11" t="s">
        <v>73</v>
      </c>
      <c r="O65" s="11" t="s">
        <v>74</v>
      </c>
      <c r="P65" s="11" t="s">
        <v>75</v>
      </c>
    </row>
    <row r="66" spans="1:16">
      <c r="A66" s="8" t="s">
        <v>2</v>
      </c>
      <c r="B66" s="74">
        <v>0.94877082931783729</v>
      </c>
      <c r="C66" s="74">
        <v>-5.0753658336681866</v>
      </c>
      <c r="D66" s="74">
        <v>1.6236869409636399</v>
      </c>
      <c r="E66" s="74">
        <v>-0.19715860341724761</v>
      </c>
      <c r="F66" s="74">
        <v>3.95147555981083</v>
      </c>
      <c r="G66" s="74">
        <v>-0.85332313148672156</v>
      </c>
      <c r="J66" t="s">
        <v>76</v>
      </c>
      <c r="K66">
        <v>1</v>
      </c>
    </row>
    <row r="67" spans="1:16">
      <c r="A67" s="8" t="s">
        <v>3</v>
      </c>
      <c r="B67" s="74">
        <v>0.17487724990471804</v>
      </c>
      <c r="C67" s="74">
        <v>-5.9557628389089681</v>
      </c>
      <c r="D67" s="74">
        <v>1.6293518860681937</v>
      </c>
      <c r="E67" s="74">
        <v>0.64247762143366816</v>
      </c>
      <c r="F67" s="74">
        <v>3.9357640968915506</v>
      </c>
      <c r="G67" s="74">
        <v>-2.6248702670794506E-2</v>
      </c>
      <c r="J67" t="s">
        <v>71</v>
      </c>
      <c r="K67">
        <v>0.32264907018785088</v>
      </c>
      <c r="L67">
        <v>1</v>
      </c>
    </row>
    <row r="68" spans="1:16">
      <c r="A68" s="8" t="s">
        <v>4</v>
      </c>
      <c r="B68" s="74">
        <v>2.2447914185952991</v>
      </c>
      <c r="C68" s="74">
        <v>-5.5693914516197962</v>
      </c>
      <c r="D68" s="74">
        <v>1.6345733551283157</v>
      </c>
      <c r="E68" s="74">
        <v>-0.54013589245011406</v>
      </c>
      <c r="F68" s="74">
        <v>3.9545824524891255</v>
      </c>
      <c r="G68" s="74">
        <v>-1.1916007657112817</v>
      </c>
      <c r="J68" t="s">
        <v>72</v>
      </c>
      <c r="K68">
        <v>2.9364032390247919E-2</v>
      </c>
      <c r="L68">
        <v>0.19395734935547243</v>
      </c>
      <c r="M68">
        <v>1</v>
      </c>
    </row>
    <row r="69" spans="1:16">
      <c r="A69" s="8" t="s">
        <v>5</v>
      </c>
      <c r="B69" s="74">
        <v>1.2002880238531108</v>
      </c>
      <c r="C69" s="74">
        <v>-4.7740860025992067</v>
      </c>
      <c r="D69" s="74">
        <v>1.6612861327136246</v>
      </c>
      <c r="E69" s="74">
        <v>-0.45786079938562546</v>
      </c>
      <c r="F69" s="74">
        <v>3.9718222188910071</v>
      </c>
      <c r="G69" s="74">
        <v>-1.0922008857071841</v>
      </c>
      <c r="J69" t="s">
        <v>73</v>
      </c>
      <c r="K69">
        <v>-0.46446379616016781</v>
      </c>
      <c r="L69">
        <v>0.31187074435240814</v>
      </c>
      <c r="M69">
        <v>0.18535294039615696</v>
      </c>
      <c r="N69">
        <v>1</v>
      </c>
    </row>
    <row r="70" spans="1:16">
      <c r="A70" s="8" t="s">
        <v>6</v>
      </c>
      <c r="B70" s="74">
        <v>6.8026182171136138E-2</v>
      </c>
      <c r="C70" s="74">
        <v>-4.8159406012391601</v>
      </c>
      <c r="D70" s="74">
        <v>1.6628653187084383</v>
      </c>
      <c r="E70" s="74">
        <v>8.7798583727751525E-2</v>
      </c>
      <c r="F70" s="74">
        <v>3.9316620753889628</v>
      </c>
      <c r="G70" s="74">
        <v>-0.58904858078315081</v>
      </c>
      <c r="J70" t="s">
        <v>74</v>
      </c>
      <c r="K70">
        <v>0.31564713302816166</v>
      </c>
      <c r="L70">
        <v>0.26048911596067165</v>
      </c>
      <c r="M70">
        <v>-0.33305605904919355</v>
      </c>
      <c r="N70">
        <v>-0.44839523014760485</v>
      </c>
      <c r="O70">
        <v>1</v>
      </c>
    </row>
    <row r="71" spans="1:16" ht="17" thickBot="1">
      <c r="A71" s="8" t="s">
        <v>7</v>
      </c>
      <c r="B71" s="74">
        <v>1.0492679709839772</v>
      </c>
      <c r="C71" s="74">
        <v>-4.280606672810066</v>
      </c>
      <c r="D71" s="74">
        <v>1.6189415785576546</v>
      </c>
      <c r="E71" s="74">
        <v>0.30085744478835469</v>
      </c>
      <c r="F71" s="74">
        <v>3.9495657773572175</v>
      </c>
      <c r="G71" s="74">
        <v>-0.35466391978494349</v>
      </c>
      <c r="J71" s="10" t="s">
        <v>75</v>
      </c>
      <c r="K71" s="10">
        <v>-0.42186631870122232</v>
      </c>
      <c r="L71" s="10">
        <v>0.41021620204894277</v>
      </c>
      <c r="M71" s="10">
        <v>0.11127420846558457</v>
      </c>
      <c r="N71" s="10">
        <v>0.96963240574755705</v>
      </c>
      <c r="O71" s="10">
        <v>-0.2163368482350555</v>
      </c>
      <c r="P71" s="10">
        <v>1</v>
      </c>
    </row>
    <row r="72" spans="1:16">
      <c r="A72" s="8" t="s">
        <v>8</v>
      </c>
      <c r="B72" s="74">
        <v>0.73498945441817809</v>
      </c>
      <c r="C72" s="74">
        <v>-5.0431791471722853</v>
      </c>
      <c r="D72" s="74">
        <v>1.6559001458218254</v>
      </c>
      <c r="E72" s="74">
        <v>-0.13178206644529428</v>
      </c>
      <c r="F72" s="74">
        <v>4.0841888420410859</v>
      </c>
      <c r="G72" s="74">
        <v>-0.6524684282983727</v>
      </c>
    </row>
    <row r="73" spans="1:16">
      <c r="A73" s="8" t="s">
        <v>9</v>
      </c>
      <c r="B73" s="74">
        <v>0.59543511854458142</v>
      </c>
      <c r="C73" s="74">
        <v>-5.504063140685826</v>
      </c>
      <c r="D73" s="74">
        <v>1.6682045353945305</v>
      </c>
      <c r="E73" s="74">
        <v>-0.29313057752353255</v>
      </c>
      <c r="F73" s="74">
        <v>3.812740013353435</v>
      </c>
      <c r="G73" s="74">
        <v>-1.0882394728168725</v>
      </c>
    </row>
    <row r="74" spans="1:16">
      <c r="A74" s="8" t="s">
        <v>10</v>
      </c>
      <c r="B74" s="74">
        <v>1.3964278435166226</v>
      </c>
      <c r="C74" s="74">
        <v>-6.3319662243654946</v>
      </c>
      <c r="D74" s="74">
        <v>1.6968741943065568</v>
      </c>
      <c r="E74" s="74">
        <v>-0.51108310135494484</v>
      </c>
      <c r="F74" s="74">
        <v>3.8473276530004323</v>
      </c>
      <c r="G74" s="74">
        <v>-1.2681295316893597</v>
      </c>
    </row>
    <row r="75" spans="1:16">
      <c r="A75" s="8" t="s">
        <v>68</v>
      </c>
      <c r="B75" s="74">
        <v>-0.1335390117011668</v>
      </c>
      <c r="C75" s="74">
        <v>-5.7961828919285336</v>
      </c>
      <c r="D75" s="74">
        <v>1.695210597672306</v>
      </c>
      <c r="E75" s="74">
        <v>0.86463641794092505</v>
      </c>
      <c r="F75" s="74">
        <v>3.6485349358285317</v>
      </c>
      <c r="G75" s="74">
        <v>-0.10485175620897619</v>
      </c>
    </row>
    <row r="76" spans="1:16">
      <c r="A76" s="8" t="s">
        <v>11</v>
      </c>
      <c r="B76" s="74">
        <v>1.0565511007388289</v>
      </c>
      <c r="C76" s="74">
        <v>-5.2928523271169787</v>
      </c>
      <c r="D76" s="74">
        <v>1.6313214783753041</v>
      </c>
      <c r="E76" s="74">
        <v>-0.28604510190834004</v>
      </c>
      <c r="F76" s="74">
        <v>4.0345096695109293</v>
      </c>
      <c r="G76" s="74">
        <v>-0.8568814365031131</v>
      </c>
    </row>
    <row r="77" spans="1:16">
      <c r="A77" s="8" t="s">
        <v>12</v>
      </c>
      <c r="B77" s="74">
        <v>0.5923982374593415</v>
      </c>
      <c r="C77" s="74">
        <v>-6.1571571347865151</v>
      </c>
      <c r="D77" s="74">
        <v>1.6565630010500969</v>
      </c>
      <c r="E77" s="74">
        <v>-0.55367397551757258</v>
      </c>
      <c r="F77" s="74">
        <v>4.0631573396828538</v>
      </c>
      <c r="G77" s="74">
        <v>-1.0939716730005242</v>
      </c>
    </row>
    <row r="78" spans="1:16">
      <c r="A78" s="8" t="s">
        <v>13</v>
      </c>
      <c r="B78" s="74">
        <v>0.74904535618875512</v>
      </c>
      <c r="C78" s="74">
        <v>-4.6110876597521289</v>
      </c>
      <c r="D78" s="74">
        <v>1.6412549667193188</v>
      </c>
      <c r="E78" s="74">
        <v>0.29781095172066757</v>
      </c>
      <c r="F78" s="74">
        <v>3.9661641543949586</v>
      </c>
      <c r="G78" s="74">
        <v>-0.34086318273068467</v>
      </c>
    </row>
    <row r="79" spans="1:16">
      <c r="A79" s="8" t="s">
        <v>14</v>
      </c>
      <c r="B79" s="74">
        <v>1.6081050245335569</v>
      </c>
      <c r="C79" s="74">
        <v>-4.452924176036289</v>
      </c>
      <c r="D79" s="74">
        <v>1.6502010046776641</v>
      </c>
      <c r="E79" s="74">
        <v>-0.11930904942334186</v>
      </c>
      <c r="F79" s="74">
        <v>4.0153696976632451</v>
      </c>
      <c r="G79" s="74">
        <v>-0.72204293733139457</v>
      </c>
    </row>
    <row r="80" spans="1:16">
      <c r="A80" s="8" t="s">
        <v>15</v>
      </c>
      <c r="B80" s="74">
        <v>1.6725591797417458</v>
      </c>
      <c r="C80" s="74">
        <v>-3.1697745979726841</v>
      </c>
      <c r="D80" s="74">
        <v>1.7375822925619533</v>
      </c>
      <c r="E80" s="74">
        <v>0.49750627373557421</v>
      </c>
      <c r="F80" s="74">
        <v>3.9680189391044203</v>
      </c>
      <c r="G80" s="74">
        <v>-0.14044169001791609</v>
      </c>
    </row>
    <row r="83" spans="1:6">
      <c r="A83" t="s">
        <v>19</v>
      </c>
    </row>
    <row r="84" spans="1:6" ht="17" thickBot="1"/>
    <row r="85" spans="1:6">
      <c r="A85" s="12" t="s">
        <v>20</v>
      </c>
      <c r="B85" s="12"/>
    </row>
    <row r="86" spans="1:6">
      <c r="A86" t="s">
        <v>21</v>
      </c>
      <c r="B86">
        <v>0.68851953211803707</v>
      </c>
    </row>
    <row r="87" spans="1:6">
      <c r="A87" t="s">
        <v>22</v>
      </c>
      <c r="B87">
        <v>0.47405914610804062</v>
      </c>
    </row>
    <row r="88" spans="1:6">
      <c r="A88" t="s">
        <v>23</v>
      </c>
      <c r="B88">
        <v>0.2110887191620609</v>
      </c>
    </row>
    <row r="89" spans="1:6">
      <c r="A89" t="s">
        <v>24</v>
      </c>
      <c r="B89">
        <v>0.55601743006639937</v>
      </c>
    </row>
    <row r="90" spans="1:6" ht="17" thickBot="1">
      <c r="A90" s="10" t="s">
        <v>25</v>
      </c>
      <c r="B90" s="10">
        <v>16</v>
      </c>
    </row>
    <row r="92" spans="1:6" ht="17" thickBot="1">
      <c r="A92" t="s">
        <v>26</v>
      </c>
    </row>
    <row r="93" spans="1:6">
      <c r="A93" s="11"/>
      <c r="B93" s="11" t="s">
        <v>31</v>
      </c>
      <c r="C93" s="11" t="s">
        <v>32</v>
      </c>
      <c r="D93" s="11" t="s">
        <v>33</v>
      </c>
      <c r="E93" s="11" t="s">
        <v>34</v>
      </c>
      <c r="F93" s="11" t="s">
        <v>35</v>
      </c>
    </row>
    <row r="94" spans="1:6">
      <c r="A94" t="s">
        <v>27</v>
      </c>
      <c r="B94">
        <v>5</v>
      </c>
      <c r="C94">
        <v>2.7865858979383695</v>
      </c>
      <c r="D94">
        <v>0.55731717958767391</v>
      </c>
      <c r="E94">
        <v>1.8027089647058434</v>
      </c>
      <c r="F94">
        <v>0.20000301053916103</v>
      </c>
    </row>
    <row r="95" spans="1:6">
      <c r="A95" t="s">
        <v>28</v>
      </c>
      <c r="B95">
        <v>10</v>
      </c>
      <c r="C95">
        <v>3.0915538253764332</v>
      </c>
      <c r="D95">
        <v>0.3091553825376433</v>
      </c>
    </row>
    <row r="96" spans="1:6" ht="17" thickBot="1">
      <c r="A96" s="10" t="s">
        <v>29</v>
      </c>
      <c r="B96" s="10">
        <v>15</v>
      </c>
      <c r="C96" s="10">
        <v>5.8781397233148027</v>
      </c>
      <c r="D96" s="10"/>
      <c r="E96" s="10"/>
      <c r="F96" s="10"/>
    </row>
    <row r="97" spans="1:14" ht="17" thickBot="1"/>
    <row r="98" spans="1:14">
      <c r="A98" s="11"/>
      <c r="B98" s="11" t="s">
        <v>36</v>
      </c>
      <c r="C98" s="11" t="s">
        <v>24</v>
      </c>
      <c r="D98" s="11" t="s">
        <v>37</v>
      </c>
      <c r="E98" s="11" t="s">
        <v>38</v>
      </c>
      <c r="F98" s="11" t="s">
        <v>39</v>
      </c>
      <c r="G98" s="11" t="s">
        <v>40</v>
      </c>
      <c r="H98" s="11" t="s">
        <v>41</v>
      </c>
      <c r="I98" s="11" t="s">
        <v>42</v>
      </c>
    </row>
    <row r="99" spans="1:14">
      <c r="A99" t="s">
        <v>30</v>
      </c>
      <c r="B99">
        <v>15.995715346374475</v>
      </c>
      <c r="C99">
        <v>182.52122240750597</v>
      </c>
      <c r="D99">
        <v>8.7637564198762841E-2</v>
      </c>
      <c r="E99">
        <v>0.93189486573723523</v>
      </c>
      <c r="F99">
        <v>-390.68691161181732</v>
      </c>
      <c r="G99">
        <v>422.67834230456629</v>
      </c>
      <c r="H99">
        <v>-390.68691161181732</v>
      </c>
      <c r="I99">
        <v>422.67834230456629</v>
      </c>
    </row>
    <row r="100" spans="1:14">
      <c r="A100" t="s">
        <v>71</v>
      </c>
      <c r="B100">
        <v>0.46699789365714323</v>
      </c>
      <c r="C100">
        <v>0.2333286305560667</v>
      </c>
      <c r="D100">
        <v>2.0014598831879229</v>
      </c>
      <c r="E100">
        <v>7.3209708067589363E-2</v>
      </c>
      <c r="F100">
        <v>-5.2890693365580776E-2</v>
      </c>
      <c r="G100">
        <v>0.98688648067986717</v>
      </c>
      <c r="H100">
        <v>-5.2890693365580776E-2</v>
      </c>
      <c r="I100">
        <v>0.98688648067986717</v>
      </c>
    </row>
    <row r="101" spans="1:14">
      <c r="A101" t="s">
        <v>72</v>
      </c>
      <c r="B101">
        <v>-0.14125291499971135</v>
      </c>
      <c r="C101">
        <v>5.1821014636685829</v>
      </c>
      <c r="D101">
        <v>-2.7257844330148197E-2</v>
      </c>
      <c r="E101">
        <v>0.97879037752504083</v>
      </c>
      <c r="F101">
        <v>-11.68769452113462</v>
      </c>
      <c r="G101">
        <v>11.405188691135198</v>
      </c>
      <c r="H101">
        <v>-11.68769452113462</v>
      </c>
      <c r="I101">
        <v>11.405188691135198</v>
      </c>
    </row>
    <row r="102" spans="1:14">
      <c r="A102" t="s">
        <v>73</v>
      </c>
      <c r="B102">
        <v>-2.8862728851922621</v>
      </c>
      <c r="C102">
        <v>38.579256260952839</v>
      </c>
      <c r="D102">
        <v>-7.481411423976933E-2</v>
      </c>
      <c r="E102">
        <v>0.94183808045010409</v>
      </c>
      <c r="F102">
        <v>-88.846212640956011</v>
      </c>
      <c r="G102">
        <v>83.073666870571486</v>
      </c>
      <c r="H102">
        <v>-88.846212640956011</v>
      </c>
      <c r="I102">
        <v>83.073666870571486</v>
      </c>
    </row>
    <row r="103" spans="1:14">
      <c r="A103" t="s">
        <v>74</v>
      </c>
      <c r="B103">
        <v>-2.8523926574522616</v>
      </c>
      <c r="C103">
        <v>39.496074340993772</v>
      </c>
      <c r="D103">
        <v>-7.2219649801795766E-2</v>
      </c>
      <c r="E103">
        <v>0.94385114424117411</v>
      </c>
      <c r="F103">
        <v>-90.855130397558668</v>
      </c>
      <c r="G103">
        <v>85.150345082654155</v>
      </c>
      <c r="H103">
        <v>-90.855130397558668</v>
      </c>
      <c r="I103">
        <v>85.150345082654155</v>
      </c>
    </row>
    <row r="104" spans="1:14" ht="17" thickBot="1">
      <c r="A104" s="10" t="s">
        <v>75</v>
      </c>
      <c r="B104" s="10">
        <v>1.8708380760319259</v>
      </c>
      <c r="C104" s="10">
        <v>38.591171354051212</v>
      </c>
      <c r="D104" s="10">
        <v>4.8478395715644156E-2</v>
      </c>
      <c r="E104" s="10">
        <v>0.96228954711656323</v>
      </c>
      <c r="F104" s="10">
        <v>-84.115650161589343</v>
      </c>
      <c r="G104" s="10">
        <v>87.857326313653189</v>
      </c>
      <c r="H104" s="10">
        <v>-84.115650161589343</v>
      </c>
      <c r="I104" s="10">
        <v>87.857326313653189</v>
      </c>
    </row>
    <row r="107" spans="1:14" ht="17" thickBot="1"/>
    <row r="108" spans="1:14">
      <c r="A108" s="64"/>
      <c r="B108" s="1" t="s">
        <v>76</v>
      </c>
      <c r="C108" s="2" t="s">
        <v>71</v>
      </c>
      <c r="D108" s="2" t="s">
        <v>72</v>
      </c>
      <c r="E108" s="2" t="s">
        <v>74</v>
      </c>
      <c r="F108" s="2" t="s">
        <v>75</v>
      </c>
      <c r="I108" s="11"/>
      <c r="J108" s="11" t="s">
        <v>76</v>
      </c>
      <c r="K108" s="11" t="s">
        <v>71</v>
      </c>
      <c r="L108" s="11" t="s">
        <v>72</v>
      </c>
      <c r="M108" s="11" t="s">
        <v>74</v>
      </c>
      <c r="N108" s="11" t="s">
        <v>75</v>
      </c>
    </row>
    <row r="109" spans="1:14">
      <c r="A109" s="8" t="s">
        <v>1</v>
      </c>
      <c r="B109" s="74">
        <v>0.64574105816267524</v>
      </c>
      <c r="C109" s="74">
        <v>-5.2655404470340992</v>
      </c>
      <c r="D109" s="74">
        <v>1.6692545425589556</v>
      </c>
      <c r="E109" s="74">
        <v>4.0717555795612066</v>
      </c>
      <c r="F109" s="74">
        <v>-0.83425032861614412</v>
      </c>
      <c r="I109" t="s">
        <v>76</v>
      </c>
      <c r="J109">
        <v>1</v>
      </c>
    </row>
    <row r="110" spans="1:14">
      <c r="A110" s="8" t="s">
        <v>2</v>
      </c>
      <c r="B110" s="74">
        <v>0.94877082931783729</v>
      </c>
      <c r="C110" s="74">
        <v>-5.0753658336681866</v>
      </c>
      <c r="D110" s="74">
        <v>1.6236869409636399</v>
      </c>
      <c r="E110" s="74">
        <v>3.95147555981083</v>
      </c>
      <c r="F110" s="74">
        <v>-0.85332313148672156</v>
      </c>
      <c r="I110" t="s">
        <v>71</v>
      </c>
      <c r="J110">
        <v>0.32264907018785088</v>
      </c>
      <c r="K110">
        <v>1</v>
      </c>
    </row>
    <row r="111" spans="1:14">
      <c r="A111" s="8" t="s">
        <v>3</v>
      </c>
      <c r="B111" s="74">
        <v>0.17487724990471804</v>
      </c>
      <c r="C111" s="74">
        <v>-5.9557628389089681</v>
      </c>
      <c r="D111" s="74">
        <v>1.6293518860681937</v>
      </c>
      <c r="E111" s="74">
        <v>3.9357640968915506</v>
      </c>
      <c r="F111" s="74">
        <v>-2.6248702670794506E-2</v>
      </c>
      <c r="I111" t="s">
        <v>72</v>
      </c>
      <c r="J111">
        <v>2.9364032390247919E-2</v>
      </c>
      <c r="K111">
        <v>0.19395734935547243</v>
      </c>
      <c r="L111">
        <v>1</v>
      </c>
    </row>
    <row r="112" spans="1:14">
      <c r="A112" s="8" t="s">
        <v>4</v>
      </c>
      <c r="B112" s="74">
        <v>2.2447914185952991</v>
      </c>
      <c r="C112" s="74">
        <v>-5.5693914516197962</v>
      </c>
      <c r="D112" s="74">
        <v>1.6345733551283157</v>
      </c>
      <c r="E112" s="74">
        <v>3.9545824524891255</v>
      </c>
      <c r="F112" s="74">
        <v>-1.1916007657112817</v>
      </c>
      <c r="I112" t="s">
        <v>74</v>
      </c>
      <c r="J112">
        <v>0.31564713302816166</v>
      </c>
      <c r="K112">
        <v>0.26048911596067165</v>
      </c>
      <c r="L112">
        <v>-0.33305605904919355</v>
      </c>
      <c r="M112">
        <v>1</v>
      </c>
    </row>
    <row r="113" spans="1:14" ht="17" thickBot="1">
      <c r="A113" s="8" t="s">
        <v>5</v>
      </c>
      <c r="B113" s="74">
        <v>1.2002880238531108</v>
      </c>
      <c r="C113" s="74">
        <v>-4.7740860025992067</v>
      </c>
      <c r="D113" s="74">
        <v>1.6612861327136246</v>
      </c>
      <c r="E113" s="74">
        <v>3.9718222188910071</v>
      </c>
      <c r="F113" s="74">
        <v>-1.0922008857071841</v>
      </c>
      <c r="I113" s="10" t="s">
        <v>75</v>
      </c>
      <c r="J113" s="10">
        <v>-0.42186631870122232</v>
      </c>
      <c r="K113" s="10">
        <v>0.41021620204894277</v>
      </c>
      <c r="L113" s="10">
        <v>0.11127420846558457</v>
      </c>
      <c r="M113" s="10">
        <v>-0.2163368482350555</v>
      </c>
      <c r="N113" s="10">
        <v>1</v>
      </c>
    </row>
    <row r="114" spans="1:14">
      <c r="A114" s="8" t="s">
        <v>6</v>
      </c>
      <c r="B114" s="74">
        <v>6.8026182171136138E-2</v>
      </c>
      <c r="C114" s="74">
        <v>-4.8159406012391601</v>
      </c>
      <c r="D114" s="74">
        <v>1.6628653187084383</v>
      </c>
      <c r="E114" s="74">
        <v>3.9316620753889628</v>
      </c>
      <c r="F114" s="74">
        <v>-0.58904858078315081</v>
      </c>
    </row>
    <row r="115" spans="1:14">
      <c r="A115" s="8" t="s">
        <v>7</v>
      </c>
      <c r="B115" s="74">
        <v>1.0492679709839772</v>
      </c>
      <c r="C115" s="74">
        <v>-4.280606672810066</v>
      </c>
      <c r="D115" s="74">
        <v>1.6189415785576546</v>
      </c>
      <c r="E115" s="74">
        <v>3.9495657773572175</v>
      </c>
      <c r="F115" s="74">
        <v>-0.35466391978494349</v>
      </c>
    </row>
    <row r="116" spans="1:14">
      <c r="A116" s="8" t="s">
        <v>8</v>
      </c>
      <c r="B116" s="74">
        <v>0.73498945441817809</v>
      </c>
      <c r="C116" s="74">
        <v>-5.0431791471722853</v>
      </c>
      <c r="D116" s="74">
        <v>1.6559001458218254</v>
      </c>
      <c r="E116" s="74">
        <v>4.0841888420410859</v>
      </c>
      <c r="F116" s="74">
        <v>-0.6524684282983727</v>
      </c>
    </row>
    <row r="117" spans="1:14">
      <c r="A117" s="8" t="s">
        <v>9</v>
      </c>
      <c r="B117" s="74">
        <v>0.59543511854458142</v>
      </c>
      <c r="C117" s="74">
        <v>-5.504063140685826</v>
      </c>
      <c r="D117" s="74">
        <v>1.6682045353945305</v>
      </c>
      <c r="E117" s="74">
        <v>3.812740013353435</v>
      </c>
      <c r="F117" s="74">
        <v>-1.0882394728168725</v>
      </c>
    </row>
    <row r="118" spans="1:14">
      <c r="A118" s="8" t="s">
        <v>10</v>
      </c>
      <c r="B118" s="74">
        <v>1.3964278435166226</v>
      </c>
      <c r="C118" s="74">
        <v>-6.3319662243654946</v>
      </c>
      <c r="D118" s="74">
        <v>1.6968741943065568</v>
      </c>
      <c r="E118" s="74">
        <v>3.8473276530004323</v>
      </c>
      <c r="F118" s="74">
        <v>-1.2681295316893597</v>
      </c>
    </row>
    <row r="119" spans="1:14">
      <c r="A119" s="8" t="s">
        <v>68</v>
      </c>
      <c r="B119" s="74">
        <v>-0.1335390117011668</v>
      </c>
      <c r="C119" s="74">
        <v>-5.7961828919285336</v>
      </c>
      <c r="D119" s="74">
        <v>1.695210597672306</v>
      </c>
      <c r="E119" s="74">
        <v>3.6485349358285317</v>
      </c>
      <c r="F119" s="74">
        <v>-0.10485175620897619</v>
      </c>
    </row>
    <row r="120" spans="1:14">
      <c r="A120" s="8" t="s">
        <v>11</v>
      </c>
      <c r="B120" s="74">
        <v>1.0565511007388289</v>
      </c>
      <c r="C120" s="74">
        <v>-5.2928523271169787</v>
      </c>
      <c r="D120" s="74">
        <v>1.6313214783753041</v>
      </c>
      <c r="E120" s="74">
        <v>4.0345096695109293</v>
      </c>
      <c r="F120" s="74">
        <v>-0.8568814365031131</v>
      </c>
    </row>
    <row r="121" spans="1:14">
      <c r="A121" s="8" t="s">
        <v>12</v>
      </c>
      <c r="B121" s="74">
        <v>0.5923982374593415</v>
      </c>
      <c r="C121" s="74">
        <v>-6.1571571347865151</v>
      </c>
      <c r="D121" s="74">
        <v>1.6565630010500969</v>
      </c>
      <c r="E121" s="74">
        <v>4.0631573396828538</v>
      </c>
      <c r="F121" s="74">
        <v>-1.0939716730005242</v>
      </c>
    </row>
    <row r="122" spans="1:14">
      <c r="A122" s="8" t="s">
        <v>13</v>
      </c>
      <c r="B122" s="74">
        <v>0.74904535618875512</v>
      </c>
      <c r="C122" s="74">
        <v>-4.6110876597521289</v>
      </c>
      <c r="D122" s="74">
        <v>1.6412549667193188</v>
      </c>
      <c r="E122" s="74">
        <v>3.9661641543949586</v>
      </c>
      <c r="F122" s="74">
        <v>-0.34086318273068467</v>
      </c>
    </row>
    <row r="123" spans="1:14">
      <c r="A123" s="8" t="s">
        <v>14</v>
      </c>
      <c r="B123" s="74">
        <v>1.6081050245335569</v>
      </c>
      <c r="C123" s="74">
        <v>-4.452924176036289</v>
      </c>
      <c r="D123" s="74">
        <v>1.6502010046776641</v>
      </c>
      <c r="E123" s="74">
        <v>4.0153696976632451</v>
      </c>
      <c r="F123" s="74">
        <v>-0.72204293733139457</v>
      </c>
    </row>
    <row r="124" spans="1:14">
      <c r="A124" s="8" t="s">
        <v>15</v>
      </c>
      <c r="B124" s="74">
        <v>1.6725591797417458</v>
      </c>
      <c r="C124" s="74">
        <v>-3.1697745979726841</v>
      </c>
      <c r="D124" s="74">
        <v>1.7375822925619533</v>
      </c>
      <c r="E124" s="74">
        <v>3.9680189391044203</v>
      </c>
      <c r="F124" s="74">
        <v>-0.14044169001791609</v>
      </c>
    </row>
    <row r="127" spans="1:14">
      <c r="A127" t="s">
        <v>19</v>
      </c>
    </row>
    <row r="128" spans="1:14" ht="17" thickBot="1"/>
    <row r="129" spans="1:9">
      <c r="A129" s="12" t="s">
        <v>20</v>
      </c>
      <c r="B129" s="12"/>
    </row>
    <row r="130" spans="1:9">
      <c r="A130" t="s">
        <v>21</v>
      </c>
      <c r="B130">
        <v>0.68830572352272923</v>
      </c>
    </row>
    <row r="131" spans="1:9">
      <c r="A131" t="s">
        <v>22</v>
      </c>
      <c r="B131">
        <v>0.47376476903414783</v>
      </c>
    </row>
    <row r="132" spans="1:9">
      <c r="A132" t="s">
        <v>23</v>
      </c>
      <c r="B132">
        <v>0.2824065032283834</v>
      </c>
    </row>
    <row r="133" spans="1:9">
      <c r="A133" t="s">
        <v>24</v>
      </c>
      <c r="B133">
        <v>0.53029016199093693</v>
      </c>
    </row>
    <row r="134" spans="1:9" ht="17" thickBot="1">
      <c r="A134" s="10" t="s">
        <v>25</v>
      </c>
      <c r="B134" s="10">
        <v>16</v>
      </c>
    </row>
    <row r="136" spans="1:9" ht="17" thickBot="1">
      <c r="A136" t="s">
        <v>26</v>
      </c>
    </row>
    <row r="137" spans="1:9">
      <c r="A137" s="11"/>
      <c r="B137" s="11" t="s">
        <v>31</v>
      </c>
      <c r="C137" s="11" t="s">
        <v>32</v>
      </c>
      <c r="D137" s="11" t="s">
        <v>33</v>
      </c>
      <c r="E137" s="11" t="s">
        <v>34</v>
      </c>
      <c r="F137" s="11" t="s">
        <v>35</v>
      </c>
    </row>
    <row r="138" spans="1:9">
      <c r="A138" t="s">
        <v>27</v>
      </c>
      <c r="B138">
        <v>4</v>
      </c>
      <c r="C138">
        <v>2.7848555083666873</v>
      </c>
      <c r="D138">
        <v>0.69621387709167182</v>
      </c>
      <c r="E138">
        <v>2.47579986701508</v>
      </c>
      <c r="F138">
        <v>0.10555526541671081</v>
      </c>
    </row>
    <row r="139" spans="1:9">
      <c r="A139" t="s">
        <v>28</v>
      </c>
      <c r="B139">
        <v>11</v>
      </c>
      <c r="C139">
        <v>3.0932842149481155</v>
      </c>
      <c r="D139">
        <v>0.28120765590437413</v>
      </c>
    </row>
    <row r="140" spans="1:9" ht="17" thickBot="1">
      <c r="A140" s="10" t="s">
        <v>29</v>
      </c>
      <c r="B140" s="10">
        <v>15</v>
      </c>
      <c r="C140" s="10">
        <v>5.8781397233148027</v>
      </c>
      <c r="D140" s="10"/>
      <c r="E140" s="10"/>
      <c r="F140" s="10"/>
    </row>
    <row r="141" spans="1:9" ht="17" thickBot="1"/>
    <row r="142" spans="1:9">
      <c r="A142" s="11"/>
      <c r="B142" s="11" t="s">
        <v>36</v>
      </c>
      <c r="C142" s="11" t="s">
        <v>24</v>
      </c>
      <c r="D142" s="11" t="s">
        <v>37</v>
      </c>
      <c r="E142" s="11" t="s">
        <v>38</v>
      </c>
      <c r="F142" s="11" t="s">
        <v>39</v>
      </c>
      <c r="G142" s="11" t="s">
        <v>40</v>
      </c>
      <c r="H142" s="11" t="s">
        <v>41</v>
      </c>
      <c r="I142" s="11" t="s">
        <v>42</v>
      </c>
    </row>
    <row r="143" spans="1:9">
      <c r="A143" t="s">
        <v>30</v>
      </c>
      <c r="B143">
        <v>2.3760608312099518</v>
      </c>
      <c r="C143">
        <v>12.545622089915321</v>
      </c>
      <c r="D143">
        <v>0.18939362386181915</v>
      </c>
      <c r="E143">
        <v>0.85323371863384145</v>
      </c>
      <c r="F143">
        <v>-25.236667212811515</v>
      </c>
      <c r="G143">
        <v>29.988788875231421</v>
      </c>
      <c r="H143">
        <v>-25.236667212811515</v>
      </c>
      <c r="I143">
        <v>29.988788875231421</v>
      </c>
    </row>
    <row r="144" spans="1:9">
      <c r="A144" t="s">
        <v>71</v>
      </c>
      <c r="B144">
        <v>0.46312227582750926</v>
      </c>
      <c r="C144">
        <v>0.21697850396197205</v>
      </c>
      <c r="D144">
        <v>2.1344154714453958</v>
      </c>
      <c r="E144">
        <v>5.6147406323565227E-2</v>
      </c>
      <c r="F144">
        <v>-1.4444191451675978E-2</v>
      </c>
      <c r="G144">
        <v>0.94068874310669448</v>
      </c>
      <c r="H144">
        <v>-1.4444191451675978E-2</v>
      </c>
      <c r="I144">
        <v>0.94068874310669448</v>
      </c>
    </row>
    <row r="145" spans="1:9">
      <c r="A145" t="s">
        <v>72</v>
      </c>
      <c r="B145">
        <v>-0.11698402609185216</v>
      </c>
      <c r="C145">
        <v>4.9326296723920464</v>
      </c>
      <c r="D145">
        <v>-2.3716361020697001E-2</v>
      </c>
      <c r="E145">
        <v>0.98150361580544043</v>
      </c>
      <c r="F145">
        <v>-10.973628735254426</v>
      </c>
      <c r="G145">
        <v>10.739660683070722</v>
      </c>
      <c r="H145">
        <v>-10.973628735254426</v>
      </c>
      <c r="I145">
        <v>10.739660683070722</v>
      </c>
    </row>
    <row r="146" spans="1:9">
      <c r="A146" t="s">
        <v>74</v>
      </c>
      <c r="B146">
        <v>0.10000259434093861</v>
      </c>
      <c r="C146">
        <v>1.5394195721771904</v>
      </c>
      <c r="D146">
        <v>6.4961233537849356E-2</v>
      </c>
      <c r="E146">
        <v>0.94937041348624063</v>
      </c>
      <c r="F146">
        <v>-3.2882370391756761</v>
      </c>
      <c r="G146">
        <v>3.4882422278575533</v>
      </c>
      <c r="H146">
        <v>-3.2882370391756761</v>
      </c>
      <c r="I146">
        <v>3.4882422278575533</v>
      </c>
    </row>
    <row r="147" spans="1:9" ht="17" thickBot="1">
      <c r="A147" s="10" t="s">
        <v>75</v>
      </c>
      <c r="B147" s="10">
        <v>-1.0161549355661028</v>
      </c>
      <c r="C147" s="10">
        <v>0.40091551395304109</v>
      </c>
      <c r="D147" s="10">
        <v>-2.5345862162997368</v>
      </c>
      <c r="E147" s="10">
        <v>2.7746037439411435E-2</v>
      </c>
      <c r="F147" s="10">
        <v>-1.8985640322272583</v>
      </c>
      <c r="G147" s="10">
        <v>-0.13374583890494721</v>
      </c>
      <c r="H147" s="10">
        <v>-1.8985640322272583</v>
      </c>
      <c r="I147" s="10">
        <v>-0.13374583890494721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E47D-0212-7D40-BA98-132EF511292B}">
  <dimension ref="B2:F8"/>
  <sheetViews>
    <sheetView zoomScale="120" zoomScaleNormal="120" workbookViewId="0">
      <selection activeCell="B8" sqref="B8"/>
    </sheetView>
  </sheetViews>
  <sheetFormatPr baseColWidth="10" defaultRowHeight="16"/>
  <cols>
    <col min="2" max="2" width="14.83203125" bestFit="1" customWidth="1"/>
    <col min="3" max="3" width="39.6640625" customWidth="1"/>
    <col min="4" max="4" width="11.6640625" bestFit="1" customWidth="1"/>
    <col min="5" max="5" width="25.83203125" bestFit="1" customWidth="1"/>
    <col min="6" max="6" width="11.6640625" bestFit="1" customWidth="1"/>
  </cols>
  <sheetData>
    <row r="2" spans="2:6" ht="18">
      <c r="B2" s="77" t="s">
        <v>142</v>
      </c>
      <c r="C2" s="77" t="s">
        <v>141</v>
      </c>
      <c r="D2" s="77" t="s">
        <v>144</v>
      </c>
      <c r="E2" s="77" t="s">
        <v>143</v>
      </c>
      <c r="F2" s="77" t="s">
        <v>145</v>
      </c>
    </row>
    <row r="3" spans="2:6" ht="18">
      <c r="B3" s="78" t="s">
        <v>156</v>
      </c>
      <c r="C3" s="78" t="s">
        <v>146</v>
      </c>
      <c r="D3" s="78" t="s">
        <v>159</v>
      </c>
      <c r="E3" s="78" t="s">
        <v>147</v>
      </c>
      <c r="F3" s="78" t="s">
        <v>148</v>
      </c>
    </row>
    <row r="4" spans="2:6" ht="18">
      <c r="B4" s="78" t="s">
        <v>149</v>
      </c>
      <c r="C4" s="78" t="s">
        <v>132</v>
      </c>
      <c r="D4" s="78" t="s">
        <v>159</v>
      </c>
      <c r="E4" s="78" t="s">
        <v>17</v>
      </c>
      <c r="F4" s="78" t="s">
        <v>148</v>
      </c>
    </row>
    <row r="5" spans="2:6" ht="18">
      <c r="B5" s="78" t="s">
        <v>151</v>
      </c>
      <c r="C5" s="78" t="s">
        <v>150</v>
      </c>
      <c r="D5" s="78" t="s">
        <v>159</v>
      </c>
      <c r="E5" s="78" t="s">
        <v>152</v>
      </c>
      <c r="F5" s="78" t="s">
        <v>148</v>
      </c>
    </row>
    <row r="6" spans="2:6" ht="18">
      <c r="B6" s="78" t="s">
        <v>153</v>
      </c>
      <c r="C6" s="78" t="s">
        <v>160</v>
      </c>
      <c r="D6" s="78" t="s">
        <v>159</v>
      </c>
      <c r="E6" s="78" t="s">
        <v>17</v>
      </c>
      <c r="F6" s="78" t="s">
        <v>148</v>
      </c>
    </row>
    <row r="7" spans="2:6" ht="18">
      <c r="B7" s="78" t="s">
        <v>155</v>
      </c>
      <c r="C7" s="78" t="s">
        <v>154</v>
      </c>
      <c r="D7" s="78" t="s">
        <v>159</v>
      </c>
      <c r="E7" s="78" t="s">
        <v>152</v>
      </c>
      <c r="F7" s="78" t="s">
        <v>148</v>
      </c>
    </row>
    <row r="8" spans="2:6" ht="18">
      <c r="B8" s="78" t="s">
        <v>161</v>
      </c>
      <c r="C8" s="78" t="s">
        <v>162</v>
      </c>
      <c r="D8" s="78" t="s">
        <v>159</v>
      </c>
      <c r="E8" s="78" t="s">
        <v>163</v>
      </c>
      <c r="F8" s="78" t="s">
        <v>148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8951-E77F-8044-827E-70D3D26AE1C5}">
  <dimension ref="A3:C19"/>
  <sheetViews>
    <sheetView zoomScale="130" zoomScaleNormal="130" workbookViewId="0">
      <selection activeCell="O20" sqref="O20"/>
    </sheetView>
  </sheetViews>
  <sheetFormatPr baseColWidth="10" defaultRowHeight="16"/>
  <sheetData>
    <row r="3" spans="1:3">
      <c r="A3" s="64"/>
      <c r="B3" s="1" t="s">
        <v>76</v>
      </c>
      <c r="C3" s="2" t="s">
        <v>71</v>
      </c>
    </row>
    <row r="4" spans="1:3">
      <c r="A4" s="8" t="s">
        <v>1</v>
      </c>
      <c r="B4" s="16">
        <v>1907.4000000000003</v>
      </c>
      <c r="C4" s="16">
        <v>5166.6000000000004</v>
      </c>
    </row>
    <row r="5" spans="1:3">
      <c r="A5" s="8" t="s">
        <v>2</v>
      </c>
      <c r="B5" s="16">
        <v>2582.5333333333333</v>
      </c>
      <c r="C5" s="16">
        <v>6248.8</v>
      </c>
    </row>
    <row r="6" spans="1:3">
      <c r="A6" s="8" t="s">
        <v>3</v>
      </c>
      <c r="B6" s="16">
        <v>1191.0999999999999</v>
      </c>
      <c r="C6" s="16">
        <v>2590.8666666666668</v>
      </c>
    </row>
    <row r="7" spans="1:3">
      <c r="A7" s="8" t="s">
        <v>4</v>
      </c>
      <c r="B7" s="16">
        <v>9438.4466666666649</v>
      </c>
      <c r="C7" s="16">
        <v>3812.8</v>
      </c>
    </row>
    <row r="8" spans="1:3">
      <c r="A8" s="8" t="s">
        <v>5</v>
      </c>
      <c r="B8" s="16">
        <v>3321.0733333333333</v>
      </c>
      <c r="C8" s="16">
        <v>8445.7999999999993</v>
      </c>
    </row>
    <row r="9" spans="1:3">
      <c r="A9" s="8" t="s">
        <v>6</v>
      </c>
      <c r="B9" s="16">
        <v>1070.3933333333332</v>
      </c>
      <c r="C9" s="16">
        <v>8099.6</v>
      </c>
    </row>
    <row r="10" spans="1:3">
      <c r="A10" s="8" t="s">
        <v>7</v>
      </c>
      <c r="B10" s="16">
        <v>2855.5600000000004</v>
      </c>
      <c r="C10" s="16">
        <v>13834.266666666666</v>
      </c>
    </row>
    <row r="11" spans="1:3">
      <c r="A11" s="8" t="s">
        <v>8</v>
      </c>
      <c r="B11" s="16">
        <v>2085.46</v>
      </c>
      <c r="C11" s="16">
        <v>6453.2</v>
      </c>
    </row>
    <row r="12" spans="1:3">
      <c r="A12" s="8" t="s">
        <v>9</v>
      </c>
      <c r="B12" s="16">
        <v>1813.8199999999997</v>
      </c>
      <c r="C12" s="16">
        <v>4070.2</v>
      </c>
    </row>
    <row r="13" spans="1:3">
      <c r="A13" s="8" t="s">
        <v>10</v>
      </c>
      <c r="B13" s="16">
        <v>4040.7400000000002</v>
      </c>
      <c r="C13" s="16">
        <v>1778.5333333333333</v>
      </c>
    </row>
    <row r="14" spans="1:3">
      <c r="A14" s="8" t="s">
        <v>68</v>
      </c>
      <c r="B14" s="16">
        <v>874.99333333333334</v>
      </c>
      <c r="C14" s="16">
        <v>3039.1333333333332</v>
      </c>
    </row>
    <row r="15" spans="1:3">
      <c r="A15" s="8" t="s">
        <v>11</v>
      </c>
      <c r="B15" s="16">
        <v>2876.4333333333334</v>
      </c>
      <c r="C15" s="16">
        <v>5027.3999999999996</v>
      </c>
    </row>
    <row r="16" spans="1:3">
      <c r="A16" s="8" t="s">
        <v>12</v>
      </c>
      <c r="B16" s="16">
        <v>1808.3200000000002</v>
      </c>
      <c r="C16" s="16">
        <v>2118.2666666666669</v>
      </c>
    </row>
    <row r="17" spans="1:3">
      <c r="A17" s="8" t="s">
        <v>13</v>
      </c>
      <c r="B17" s="16">
        <v>2114.98</v>
      </c>
      <c r="C17" s="16">
        <v>9941</v>
      </c>
    </row>
    <row r="18" spans="1:3">
      <c r="A18" s="8" t="s">
        <v>14</v>
      </c>
      <c r="B18" s="16">
        <v>4993.3399999999992</v>
      </c>
      <c r="C18" s="16">
        <v>11644.466666666667</v>
      </c>
    </row>
    <row r="19" spans="1:3">
      <c r="A19" s="8" t="s">
        <v>15</v>
      </c>
      <c r="B19" s="16">
        <v>5325.7800000000007</v>
      </c>
      <c r="C19" s="16">
        <v>42013.066666666666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исходные данные</vt:lpstr>
      <vt:lpstr>исходные данные (2)</vt:lpstr>
      <vt:lpstr>мультиколлинеарность (2)</vt:lpstr>
      <vt:lpstr>общ</vt:lpstr>
      <vt:lpstr>парный линейн</vt:lpstr>
      <vt:lpstr>степенная</vt:lpstr>
      <vt:lpstr>y log общ</vt:lpstr>
      <vt:lpstr>гетеро вспом</vt:lpstr>
      <vt:lpstr>автокорреляция</vt:lpstr>
      <vt:lpstr>мультиколлинеарность</vt:lpstr>
      <vt:lpstr>Лист1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Yelnaz Turdygazina</dc:creator>
  <cp:lastModifiedBy>Yelnaz Turdygazina</cp:lastModifiedBy>
  <dcterms:created xsi:type="dcterms:W3CDTF">2025-04-01T09:22:21Z</dcterms:created>
  <dcterms:modified xsi:type="dcterms:W3CDTF">2025-04-24T21:17:28Z</dcterms:modified>
</cp:coreProperties>
</file>